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158e6b991fee7f4/Desktop/Schule/Maturarbeit/Godot/matura-roguelite/docs/"/>
    </mc:Choice>
  </mc:AlternateContent>
  <xr:revisionPtr revIDLastSave="672" documentId="8_{1C25F502-3DF3-4C0E-A964-DFE0638285DE}" xr6:coauthVersionLast="47" xr6:coauthVersionMax="47" xr10:uidLastSave="{F69CE301-ECCB-445F-A0C6-1936876F7E08}"/>
  <bookViews>
    <workbookView xWindow="-110" yWindow="-110" windowWidth="19420" windowHeight="11500" activeTab="1" xr2:uid="{5B9A7CE5-9E71-472F-BCC2-975C4625B76B}"/>
  </bookViews>
  <sheets>
    <sheet name="Room Balance" sheetId="1" r:id="rId1"/>
    <sheet name="Enemy Balance" sheetId="2" r:id="rId2"/>
    <sheet name="Weapon Balance" sheetId="3" r:id="rId3"/>
    <sheet name="Debuff Pool" sheetId="4" r:id="rId4"/>
    <sheet name="Reward Pool" sheetId="5" r:id="rId5"/>
    <sheet name="Meta Progression" sheetId="6" r:id="rId6"/>
    <sheet name="Boss Balance" sheetId="9" r:id="rId7"/>
    <sheet name="Run Economy" sheetId="10" r:id="rId8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K14" i="4" l="1"/>
  <c r="K13" i="4"/>
  <c r="K12" i="4"/>
  <c r="K11" i="4"/>
  <c r="K10" i="4"/>
  <c r="K9" i="4"/>
  <c r="K8" i="4"/>
  <c r="K7" i="4"/>
  <c r="K6" i="4"/>
  <c r="K5" i="4"/>
  <c r="K4" i="4"/>
  <c r="K3" i="4"/>
  <c r="K2" i="4"/>
</calcChain>
</file>

<file path=xl/sharedStrings.xml><?xml version="1.0" encoding="utf-8"?>
<sst xmlns="http://schemas.openxmlformats.org/spreadsheetml/2006/main" count="324" uniqueCount="218">
  <si>
    <t>Stage</t>
  </si>
  <si>
    <t>Floor</t>
  </si>
  <si>
    <t>Room Type</t>
  </si>
  <si>
    <t>Waves</t>
  </si>
  <si>
    <t>Min Enemies</t>
  </si>
  <si>
    <t>Min count</t>
  </si>
  <si>
    <t>Max count</t>
  </si>
  <si>
    <t>Max Enemies</t>
  </si>
  <si>
    <t>Gold Reward</t>
  </si>
  <si>
    <t>Heal Value</t>
  </si>
  <si>
    <t>Notes</t>
  </si>
  <si>
    <t>Combat</t>
  </si>
  <si>
    <t>Reward</t>
  </si>
  <si>
    <t>Rest</t>
  </si>
  <si>
    <t>Boss</t>
  </si>
  <si>
    <t>Enemies not counting boss</t>
  </si>
  <si>
    <t>Choice between Gold, buying health, stat boost - cheapest</t>
  </si>
  <si>
    <t>Free gold or buying other things - most expensive</t>
  </si>
  <si>
    <t>not including boss</t>
  </si>
  <si>
    <t>Unlock ability to buy second weapon</t>
  </si>
  <si>
    <t>Unlock ability to buy third weapon</t>
  </si>
  <si>
    <t>Enemy ID</t>
  </si>
  <si>
    <t>Enemy Name</t>
  </si>
  <si>
    <t>Stage Availability</t>
  </si>
  <si>
    <t>HP</t>
  </si>
  <si>
    <t>Melee Dmg</t>
  </si>
  <si>
    <t>Range Dmg</t>
  </si>
  <si>
    <t>Speed</t>
  </si>
  <si>
    <t>Knockback</t>
  </si>
  <si>
    <t>Weight</t>
  </si>
  <si>
    <t>Weapon ID</t>
  </si>
  <si>
    <t>Weapon Name</t>
  </si>
  <si>
    <t>Base Dmg</t>
  </si>
  <si>
    <t>Atk Speed</t>
  </si>
  <si>
    <t>Range</t>
  </si>
  <si>
    <t>Special name</t>
  </si>
  <si>
    <t>Special dmg</t>
  </si>
  <si>
    <t>Special Cooldown</t>
  </si>
  <si>
    <t>Scaling stat</t>
  </si>
  <si>
    <t>Debuff ID</t>
  </si>
  <si>
    <t>Debuff Name</t>
  </si>
  <si>
    <t>Description</t>
  </si>
  <si>
    <t>Stage min</t>
  </si>
  <si>
    <t>Stage max</t>
  </si>
  <si>
    <t xml:space="preserve">Debuff % </t>
  </si>
  <si>
    <t xml:space="preserve">Enemy Buff % </t>
  </si>
  <si>
    <t>Difficulty</t>
  </si>
  <si>
    <t>Reward ID</t>
  </si>
  <si>
    <t>Reward Name</t>
  </si>
  <si>
    <t>Type</t>
  </si>
  <si>
    <t>Value</t>
  </si>
  <si>
    <t>Cost Gold</t>
  </si>
  <si>
    <t>Stage multip</t>
  </si>
  <si>
    <t>Rarity</t>
  </si>
  <si>
    <t>Upgrade ID</t>
  </si>
  <si>
    <t>Category</t>
  </si>
  <si>
    <t>Prerequisite</t>
  </si>
  <si>
    <t>Name</t>
  </si>
  <si>
    <t>Level</t>
  </si>
  <si>
    <t>Cost Essence</t>
  </si>
  <si>
    <t>Max level</t>
  </si>
  <si>
    <t>Boss ID</t>
  </si>
  <si>
    <t>Boss Name</t>
  </si>
  <si>
    <t>level</t>
  </si>
  <si>
    <t>Dmg</t>
  </si>
  <si>
    <t>Phase Count</t>
  </si>
  <si>
    <t>Slowness I</t>
  </si>
  <si>
    <t>Damage reduction I</t>
  </si>
  <si>
    <t>Health boost I</t>
  </si>
  <si>
    <t>More enemies</t>
  </si>
  <si>
    <t>Stage 3</t>
  </si>
  <si>
    <t>Stage 1</t>
  </si>
  <si>
    <t>Weapon restriction</t>
  </si>
  <si>
    <t>Projectile speed boost</t>
  </si>
  <si>
    <t>Enemy range boost I</t>
  </si>
  <si>
    <t>Gold</t>
  </si>
  <si>
    <t>Amount of gold depending on current stage and room</t>
  </si>
  <si>
    <t>1,2,3</t>
  </si>
  <si>
    <t xml:space="preserve">Damage boost </t>
  </si>
  <si>
    <t>Buff</t>
  </si>
  <si>
    <t>Player damage boost</t>
  </si>
  <si>
    <t>1, 1.4, 1.7</t>
  </si>
  <si>
    <t>Heal potion</t>
  </si>
  <si>
    <t>Player gets saveable heal potion for current run</t>
  </si>
  <si>
    <t>Heal</t>
  </si>
  <si>
    <t>1. 1.4, 1.7</t>
  </si>
  <si>
    <t>Sword</t>
  </si>
  <si>
    <t>Spear</t>
  </si>
  <si>
    <t>Hammer</t>
  </si>
  <si>
    <t>Base stat upgrades (get added together)</t>
  </si>
  <si>
    <t>S1-L1</t>
  </si>
  <si>
    <t>Training Dummy 2</t>
  </si>
  <si>
    <t>Enemy Difficulty</t>
  </si>
  <si>
    <t>training_dummy_2</t>
  </si>
  <si>
    <t>Difficulty tier</t>
  </si>
  <si>
    <t>Room-clear essence</t>
  </si>
  <si>
    <t>Status</t>
  </si>
  <si>
    <t>enemy_health</t>
  </si>
  <si>
    <t>Increase enemy maximum HP</t>
  </si>
  <si>
    <t>Initial enemies in this room only.</t>
  </si>
  <si>
    <t>Planned</t>
  </si>
  <si>
    <t>more_enemies</t>
  </si>
  <si>
    <t>Increase initial enemy count</t>
  </si>
  <si>
    <t>Round extra count upward; use the room roster.</t>
  </si>
  <si>
    <t>projectile_speed</t>
  </si>
  <si>
    <t>Increase enemy projectile speed</t>
  </si>
  <si>
    <t>Only eligible with projectile enemies.</t>
  </si>
  <si>
    <t>melee_reach</t>
  </si>
  <si>
    <t>Increase enemy melee reach</t>
  </si>
  <si>
    <t>Only eligible with suitable melee enemies; attack visuals must match.</t>
  </si>
  <si>
    <t>enemy_regeneration</t>
  </si>
  <si>
    <t>Enemy heal I</t>
  </si>
  <si>
    <t>Regenerate enemy maximum HP per second</t>
  </si>
  <si>
    <t>Starts after 3 s without damage; fractional healing; never revive.</t>
  </si>
  <si>
    <t>Deferred</t>
  </si>
  <si>
    <t>slowness</t>
  </si>
  <si>
    <t>Reduce player walking speed</t>
  </si>
  <si>
    <t>Dash speed unchanged.</t>
  </si>
  <si>
    <t>damage_reduction</t>
  </si>
  <si>
    <t>Reduce player outgoing attack damage</t>
  </si>
  <si>
    <t>Applies to player attacks in this room only.</t>
  </si>
  <si>
    <t>restricted_vision</t>
  </si>
  <si>
    <t>Restricted vision I</t>
  </si>
  <si>
    <t>Limit vision to a 135 px radius</t>
  </si>
  <si>
    <t>Logical pixels, not a percentage; soft edge; HUD remains visible. Playtest radius.</t>
  </si>
  <si>
    <t>weapon_restriction</t>
  </si>
  <si>
    <t>Disable current weapon (deferred)</t>
  </si>
  <si>
    <t>Only if PLAYER owns another usable weapon; switching rules undecided.</t>
  </si>
  <si>
    <t>enemy_haste</t>
  </si>
  <si>
    <t>Enemy haste</t>
  </si>
  <si>
    <t>Increase enemy walking / chase speed</t>
  </si>
  <si>
    <t>Attack timings unchanged.</t>
  </si>
  <si>
    <t>slow_recovery</t>
  </si>
  <si>
    <t>Slow recovery</t>
  </si>
  <si>
    <t>Reduce player stamina regeneration</t>
  </si>
  <si>
    <t>Includes stamina-potion regeneration boost.</t>
  </si>
  <si>
    <t>elite_defender</t>
  </si>
  <si>
    <t>Elite defender</t>
  </si>
  <si>
    <t>One marked enemy: +50% HP, +20% damage</t>
  </si>
  <si>
    <t>Enemy Buff column is HP increase; damage increase is 20%.</t>
  </si>
  <si>
    <t>reinforcements</t>
  </si>
  <si>
    <t>Reinforcements</t>
  </si>
  <si>
    <t>Add a wave after initial group dies</t>
  </si>
  <si>
    <t>Extra count = ceil(initial count x 0.5); same roster; 1 s spawn warning.</t>
  </si>
  <si>
    <t>Speed (px/s)</t>
  </si>
  <si>
    <t>Hit radius (px)</t>
  </si>
  <si>
    <t>Recovery (s)</t>
  </si>
  <si>
    <t>Hit knockback (px/s)</t>
  </si>
  <si>
    <t>1-1</t>
  </si>
  <si>
    <t>Current scene values. Trigger range 25 px; windup 0.5 s, dash 100 px/s up to 0.3 s, spin 3 s. First-run 1-1 roster.</t>
  </si>
  <si>
    <t>goblin_barrel</t>
  </si>
  <si>
    <t>Goblin Barrel</t>
  </si>
  <si>
    <t>1-1 replay</t>
  </si>
  <si>
    <t>Current scene + hitbox defaults. Added after recorded 1-1 clear; also boss summons. Windup 0.18 s, dash 75 px/s for 0.5 s, swing 0.32 s; hit at 0.12 s.</t>
  </si>
  <si>
    <t>green_goblin</t>
  </si>
  <si>
    <t>Green Goblin</t>
  </si>
  <si>
    <t>1-2</t>
  </si>
  <si>
    <t>Implemented. Barrel-style attack; trigger 25 px, detection 80 px. Windup 0.18 s, dash 0.5 s, swing 0.32 s, hit at 0.12 s.</t>
  </si>
  <si>
    <t>green_orc_archer</t>
  </si>
  <si>
    <t>Green Orc Archer</t>
  </si>
  <si>
    <t>Implemented; orc_archer is the 1-3 catalogue alias for this scene. Detection 160 px, fire range 100 px. Windup 0.18 s, attack 0.32 s, release at 0.12 s; arrow 180 px/s, lifetime 2 s.</t>
  </si>
  <si>
    <t>orc_barbare</t>
  </si>
  <si>
    <t>Green Orc Barbare</t>
  </si>
  <si>
    <t>1-3</t>
  </si>
  <si>
    <t>Implemented. Stationary swing, no dash. Trigger 25 px; windup 0.18 s, attack 0.32 s, hit at 0.12 s.</t>
  </si>
  <si>
    <t>blue_orc_archer</t>
  </si>
  <si>
    <t>Blue Orc Archer</t>
  </si>
  <si>
    <t>Implemented. Same initial stats and size as green archer; tune separately later.</t>
  </si>
  <si>
    <t>red_orc_archer</t>
  </si>
  <si>
    <t>Red Orc Archer</t>
  </si>
  <si>
    <t>blue_orc_barbare</t>
  </si>
  <si>
    <t>Blue Orc Barbare</t>
  </si>
  <si>
    <t>Implemented. Same initial stats and size as green Barbare; tune separately later.</t>
  </si>
  <si>
    <t>red_orc_barbare</t>
  </si>
  <si>
    <t>Red Orc Barbare</t>
  </si>
  <si>
    <t>monster_slasher</t>
  </si>
  <si>
    <t>MonsterSlasher</t>
  </si>
  <si>
    <t>1-3 boss support</t>
  </si>
  <si>
    <t>Implemented. Two opposite horizontal passes; dash 75 px/s, pass duration 0.5 s. Two initially; two more after goblin waves 1 and 2.</t>
  </si>
  <si>
    <t>sorcerer</t>
  </si>
  <si>
    <t>Sorcerer</t>
  </si>
  <si>
    <t>1-3 boss</t>
  </si>
  <si>
    <t>Implemented; stationary, summon-only (configured unused damage 5). First summon after 3 s; 3 waves of 3 barrels. Next wave waits for goblins to die. All support must die to clear.</t>
  </si>
  <si>
    <t>frog_monster</t>
  </si>
  <si>
    <t>FrogMonster</t>
  </si>
  <si>
    <t>2-1; 2-3</t>
  </si>
  <si>
    <t>Planned only. Melee; exact attack design and stats require approval.</t>
  </si>
  <si>
    <t>mushroom</t>
  </si>
  <si>
    <t>Mushroom</t>
  </si>
  <si>
    <t>2-1; 2-2; 2-3</t>
  </si>
  <si>
    <t>Planned only. Ranged; exact attack design and stats require approval.</t>
  </si>
  <si>
    <t>ent</t>
  </si>
  <si>
    <t>Ent</t>
  </si>
  <si>
    <t>2-2; 2-3</t>
  </si>
  <si>
    <t>cyclop_archer</t>
  </si>
  <si>
    <t>Cyclop Archer</t>
  </si>
  <si>
    <t>2-3</t>
  </si>
  <si>
    <t>frog_boss</t>
  </si>
  <si>
    <t>FrogBoss</t>
  </si>
  <si>
    <t>2-3 boss</t>
  </si>
  <si>
    <t>Planned only. Major boss; exact attack design and stats require approval.</t>
  </si>
  <si>
    <t>dwarfette</t>
  </si>
  <si>
    <t>Dwarfette / Wrecking Ball</t>
  </si>
  <si>
    <t>3-1; 3-3</t>
  </si>
  <si>
    <t>monsterfly</t>
  </si>
  <si>
    <t>Monsterfly</t>
  </si>
  <si>
    <t>3-1</t>
  </si>
  <si>
    <t>Planned only. Regular enemy; exact attack design and stats require approval.</t>
  </si>
  <si>
    <t>rhino_monster</t>
  </si>
  <si>
    <t>RhinoMonster</t>
  </si>
  <si>
    <t>Planned only. Charge enemy; formerly called Smasher; exact attack design and stats require approval.</t>
  </si>
  <si>
    <t>vampire_archer</t>
  </si>
  <si>
    <t>Vampire Archer</t>
  </si>
  <si>
    <t>game_master</t>
  </si>
  <si>
    <t>GameMaster</t>
  </si>
  <si>
    <t>3-3 boss</t>
  </si>
  <si>
    <t>1-2, 1-3</t>
  </si>
  <si>
    <t>3-2, 3-3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</si>
</sst>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7CB6469-E74F-4269-A346-50BFACE0657B}" name="Table2" displayName="Table2" ref="A1:K37" totalsRowShown="0">
  <autoFilter ref="A1:K37" xr:uid="{57CB6469-E74F-4269-A346-50BFACE0657B}"/>
  <tableColumns count="11">
    <tableColumn id="1" xr3:uid="{01D57AB7-F17B-482F-8E6E-5C45BD970849}" name="Stage"/>
    <tableColumn id="2" xr3:uid="{17C3AFA3-7B12-47BC-A830-E50E6526EC9F}" name="Floor"/>
    <tableColumn id="3" xr3:uid="{DB6B8C3B-DB38-4B36-BC5E-8DCBA6148EC5}" name="Room Type"/>
    <tableColumn id="4" xr3:uid="{447A6B86-C276-49FC-9888-3FECAA4D88F6}" name="Min count"/>
    <tableColumn id="5" xr3:uid="{1B8E1463-44B6-491A-A772-AE8171A9C5B1}" name="Max count"/>
    <tableColumn id="6" xr3:uid="{32BC17CD-08C8-4D23-A227-AB3D1F7EE717}" name="Waves"/>
    <tableColumn id="7" xr3:uid="{1C7402B6-819D-4DE7-9FFC-BD3AD8C8FBD8}" name="Min Enemies"/>
    <tableColumn id="8" xr3:uid="{5A93B6C2-DEBC-426F-B3E9-DD5F59736C05}" name="Max Enemies"/>
    <tableColumn id="9" xr3:uid="{607E0982-246D-49CA-97C6-F36759AEF197}" name="Gold Reward"/>
    <tableColumn id="10" xr3:uid="{23B7F453-73A1-4C59-8C2B-09A0AC4415E7}" name="Heal Value"/>
    <tableColumn id="11" xr3:uid="{A51E7312-10FF-41C0-8111-4491E1BEC036}" name="Notes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FB41B092-5EB1-4212-B9E6-C0D670B06C2F}" name="Table6" displayName="Table6" ref="A1:M27" totalsRowShown="0" headerRowDxfId="0">
  <autoFilter ref="A1:M27" xr:uid="{FB41B092-5EB1-4212-B9E6-C0D670B06C2F}"/>
  <tableColumns count="13">
    <tableColumn id="1" xr3:uid="{46570C25-1084-4E9E-8948-80CCACEF9655}" name="Enemy ID"/>
    <tableColumn id="2" xr3:uid="{50EE51A6-78D0-4A93-997A-C59B41904419}" name="Enemy Name"/>
    <tableColumn id="3" xr3:uid="{6557213E-935C-49A8-B5B7-526A69D44FA4}" name="Stage Availability"/>
    <tableColumn id="4" xr3:uid="{B5D3A691-70AA-42BA-AD52-274FDAEDE073}" name="Enemy Difficulty"/>
    <tableColumn id="5" xr3:uid="{9EED8C32-74CC-4FC1-AD4A-CA184D2E5D44}" name="HP"/>
    <tableColumn id="6" xr3:uid="{63F1D0CB-A151-4667-933C-97661FA9338C}" name="Melee Dmg"/>
    <tableColumn id="7" xr3:uid="{C9F89C61-8892-4D9F-AD54-826E0BBDEF3B}" name="Range Dmg"/>
    <tableColumn id="8" xr3:uid="{C6C027E3-4705-46A3-8234-DBBE1439D19C}" name="Speed (px/s)"/>
    <tableColumn id="9" xr3:uid="{134AF165-8977-417F-B120-CA6D2329C024}" name="Hit radius (px)"/>
    <tableColumn id="10" xr3:uid="{E0BDCC7C-2F70-489D-9E5D-B310C39B9714}" name="Recovery (s)"/>
    <tableColumn id="11" xr3:uid="{4B847F7E-08E0-4AC1-9AA0-4074EDEDAF82}" name="Hit knockback (px/s)"/>
    <tableColumn id="12" xr3:uid="{94294FDD-B23F-4A7F-A3FE-C2021A1EC0E8}" name="Weight"/>
    <tableColumn id="13" xr3:uid="{1889C3B2-8F7C-4330-AC2A-88AF7B0FCCE2}" name="Notes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8A5BECD-C6BF-4E5D-BC0A-A45DD0ED61E6}" name="Table5" displayName="Table5" ref="A1:K5" totalsRowShown="0">
  <autoFilter ref="A1:K5" xr:uid="{38A5BECD-C6BF-4E5D-BC0A-A45DD0ED61E6}"/>
  <tableColumns count="11">
    <tableColumn id="1" xr3:uid="{006DD6B6-F9AD-44A8-BF1C-8D212C35DE05}" name="Weapon ID"/>
    <tableColumn id="2" xr3:uid="{5CFF9DC7-0FA1-4AE2-A400-E020239B51DA}" name="Weapon Name"/>
    <tableColumn id="3" xr3:uid="{1A57C229-2B64-47D3-9A06-B098B581ED2D}" name="Base Dmg"/>
    <tableColumn id="4" xr3:uid="{5608B81B-C8CC-4AD4-A13C-6B249BE28D6E}" name="Atk Speed"/>
    <tableColumn id="5" xr3:uid="{0704A01C-B921-4301-B493-A9C326582B0D}" name="Range"/>
    <tableColumn id="6" xr3:uid="{41BEE5FF-7237-4E13-8E13-D004F4E8752C}" name="Knockback"/>
    <tableColumn id="7" xr3:uid="{6E47094F-28C4-414D-B227-6CD81B01DBD7}" name="Special name"/>
    <tableColumn id="8" xr3:uid="{D2E085E9-A0F5-4486-B217-C45711A7146D}" name="Special dmg"/>
    <tableColumn id="9" xr3:uid="{24E8D649-2BB8-4061-98CC-471409378B7C}" name="Special Cooldown"/>
    <tableColumn id="10" xr3:uid="{07BED9DE-741E-452F-B1C6-9160B3542553}" name="Scaling stat"/>
    <tableColumn id="11" xr3:uid="{F7C2943C-F165-4D0C-BFC7-407316009FF0}" name="Notes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78591B9-48AC-4E58-889A-59E3D6CFAE54}" name="Table4" displayName="Table4" ref="A1:L14" totalsRowShown="0">
  <autoFilter ref="A1:L14" xr:uid="{478591B9-48AC-4E58-889A-59E3D6CFAE54}"/>
  <tableColumns count="12">
    <tableColumn id="1" xr3:uid="{2D48E5DA-F732-4E45-BC40-6061A538F167}" name="Debuff ID"/>
    <tableColumn id="2" xr3:uid="{A2D16444-181E-4DA5-A9E6-5AF8816A3BCD}" name="Debuff Name"/>
    <tableColumn id="3" xr3:uid="{5947692A-C4EB-4CA4-8045-12D99E402F71}" name="Description"/>
    <tableColumn id="4" xr3:uid="{45CC64EE-850F-4E2F-980A-657BB3CD65E4}" name="Stage min"/>
    <tableColumn id="5" xr3:uid="{71B20680-F3AC-4120-94C7-511288FDAFA2}" name="Stage max"/>
    <tableColumn id="6" xr3:uid="{418120AD-AA5A-48AB-A24B-6393A8C37BD9}" name="Debuff % "/>
    <tableColumn id="7" xr3:uid="{4C1C6E5F-ACCF-4739-8CB4-4DD02A4D1B5E}" name="Enemy Buff % "/>
    <tableColumn id="8" xr3:uid="{A1F32C39-78DD-41E7-8BE6-A663CD74209A}" name="Difficulty tier"/>
    <tableColumn id="9" xr3:uid="{D2F5C68C-452B-40E5-943B-88DCADDE0190}" name="Weight"/>
    <tableColumn id="10" xr3:uid="{E41B4D2A-A03D-44B4-A104-6E40135EB1E2}" name="Notes"/>
    <tableColumn id="11" xr3:uid="{165E848D-757A-4144-9089-4F77ADC5CB3B}" name="Room-clear essence">
      <calculatedColumnFormula>IF(I2=0,0,H2)</calculatedColumnFormula>
    </tableColumn>
    <tableColumn id="12" xr3:uid="{ED2A6768-0A09-4746-B2B4-B88ED8CA146D}" name="Status"/>
  </tableColumns>
  <tableStyleInfo name="TableStyleLight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97C6831A-2E29-42A6-8A25-70BD6098A266}" name="Table7" displayName="Table7" ref="A1:L20" totalsRowShown="0">
  <autoFilter ref="A1:L20" xr:uid="{97C6831A-2E29-42A6-8A25-70BD6098A266}"/>
  <tableColumns count="12">
    <tableColumn id="1" xr3:uid="{B1312DD5-F1FD-4E1C-95A8-3BFA488C7390}" name="Reward ID"/>
    <tableColumn id="2" xr3:uid="{926A2828-2913-42E6-BE2B-F9A42AF661E0}" name="Reward Name"/>
    <tableColumn id="3" xr3:uid="{27F0883F-6E95-4AFE-A985-497549989BC3}" name="Description"/>
    <tableColumn id="4" xr3:uid="{766E2936-6512-49FE-9613-97E5D4872881}" name="Type"/>
    <tableColumn id="5" xr3:uid="{07D1C393-0A77-47E5-82EA-48E11F8E7CB3}" name="Value"/>
    <tableColumn id="6" xr3:uid="{04484E49-B7CA-4A5B-A093-DC2F94D905BD}" name="Cost Gold"/>
    <tableColumn id="7" xr3:uid="{28AD7771-4E38-4F53-AB3E-9E0973194AD5}" name="Stage multip"/>
    <tableColumn id="8" xr3:uid="{BCA8F7E3-6FFB-42B1-87F5-9EAD922B2141}" name="Rarity"/>
    <tableColumn id="9" xr3:uid="{35953E42-296E-49DA-9AF8-3EA364ECD125}" name="Weight"/>
    <tableColumn id="10" xr3:uid="{55A84C14-A10E-4C58-A720-C029D5C1B609}" name="Stage min"/>
    <tableColumn id="11" xr3:uid="{FB9A9104-EE1A-4CF0-BD58-C97CE40A5D85}" name="Stage max"/>
    <tableColumn id="12" xr3:uid="{C430CA93-4A54-4ED5-A1FE-334C54AD213E}" name="Notes"/>
  </tableColumns>
  <tableStyleInfo name="TableStyleLight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9B95343-379E-45CB-87FA-4D57E1EA47FA}" name="Table8" displayName="Table8" ref="B1:K40" totalsRowShown="0">
  <autoFilter ref="B1:K40" xr:uid="{09B95343-379E-45CB-87FA-4D57E1EA47FA}"/>
  <tableColumns count="10">
    <tableColumn id="1" xr3:uid="{4B34C223-087A-4AB6-95A4-FF20EED7D8FA}" name="Upgrade ID"/>
    <tableColumn id="3" xr3:uid="{341D9894-03B9-4A7C-80D6-99A5D872B716}" name="Category"/>
    <tableColumn id="4" xr3:uid="{65FC88F4-49F3-422C-B15C-0BC27996031E}" name="Prerequisite"/>
    <tableColumn id="5" xr3:uid="{720AF811-9467-4694-B32D-EF53233739CF}" name="Name"/>
    <tableColumn id="6" xr3:uid="{F6D8C664-86F0-4146-BC3C-979760488CF3}" name="Description"/>
    <tableColumn id="7" xr3:uid="{F4A6F7B2-30FC-44F4-9C75-0D95EC4136A6}" name="Level"/>
    <tableColumn id="8" xr3:uid="{683BEA9F-A36F-4614-8B6A-EE9FEA5D75A6}" name="Cost Essence"/>
    <tableColumn id="9" xr3:uid="{5BACBE56-F5F3-45BE-BB6E-BAAEA59CC117}" name="Value"/>
    <tableColumn id="10" xr3:uid="{E847D972-6C82-47D5-9BB4-8B5D277C79F1}" name="Max level"/>
    <tableColumn id="11" xr3:uid="{C2FEC30E-AFC6-4B59-85B4-B27BA27190E1}" name="Notes"/>
  </tableColumns>
  <tableStyleInfo name="TableStyleLight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75DDFD4-CFA0-4D7F-840A-1839E9FDDD7C}" name="Table82" displayName="Table82" ref="M1:V40" totalsRowShown="0">
  <autoFilter ref="M1:V40" xr:uid="{675DDFD4-CFA0-4D7F-840A-1839E9FDDD7C}"/>
  <tableColumns count="10">
    <tableColumn id="1" xr3:uid="{3CF00411-901D-4FF4-B051-5224F0F9D7B1}" name="Upgrade ID"/>
    <tableColumn id="3" xr3:uid="{727AD8EC-AF84-4E35-8BB8-7450DEA98D04}" name="Category"/>
    <tableColumn id="4" xr3:uid="{B1199455-295E-4A66-AE71-35AFF040E2B2}" name="Prerequisite"/>
    <tableColumn id="5" xr3:uid="{10961C07-A07B-4AB4-8A2E-96AD207AB6EB}" name="Name"/>
    <tableColumn id="6" xr3:uid="{8DDC1306-4D10-4AE0-A0A9-6DC6BF265C86}" name="Description"/>
    <tableColumn id="7" xr3:uid="{849DB66D-19CE-4D3B-8325-4C3F934F07A6}" name="Level"/>
    <tableColumn id="8" xr3:uid="{19D1704E-8147-4751-9399-FF7D3232C7BF}" name="Cost Essence"/>
    <tableColumn id="9" xr3:uid="{230911DC-9973-472A-9AA9-5B68A0B2D1D1}" name="Value"/>
    <tableColumn id="10" xr3:uid="{7F4336EF-630C-4471-9650-54DD1F74A7A7}" name="Max level"/>
    <tableColumn id="11" xr3:uid="{5CD51F5B-474B-4E17-92F8-B977CC4D2874}" name="Notes"/>
  </tableColumns>
  <tableStyleInfo name="TableStyleLight1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77A68AC-33D5-423B-AE0C-F771B667101B}" name="Table84" displayName="Table84" ref="X1:AG40" totalsRowShown="0">
  <autoFilter ref="X1:AG40" xr:uid="{477A68AC-33D5-423B-AE0C-F771B667101B}"/>
  <tableColumns count="10">
    <tableColumn id="1" xr3:uid="{2E5FD2DE-3E7D-496D-BD4C-6EE31DDC3489}" name="Upgrade ID"/>
    <tableColumn id="3" xr3:uid="{6B33E9A0-17BF-484F-A993-95C16D72C20C}" name="Category"/>
    <tableColumn id="4" xr3:uid="{D35499AB-6D4C-4C60-ABEE-310D30CE70A9}" name="Prerequisite"/>
    <tableColumn id="5" xr3:uid="{A0710BBD-8105-419E-86C9-99C12BED167E}" name="Name"/>
    <tableColumn id="6" xr3:uid="{DE40F8B0-D495-4648-BAFC-84B49A182197}" name="Description"/>
    <tableColumn id="7" xr3:uid="{9FE5C44F-E20D-4E55-9BCA-7C03A1E2F71F}" name="Level"/>
    <tableColumn id="8" xr3:uid="{D3897422-6929-44D8-A3BF-FAAC75E3320B}" name="Cost Essence"/>
    <tableColumn id="9" xr3:uid="{22D66740-771F-4AED-9EC6-6BBBD149A55A}" name="Value"/>
    <tableColumn id="10" xr3:uid="{87A28EB7-6C5B-4B9A-86BF-DC332CE59A23}" name="Max level"/>
    <tableColumn id="11" xr3:uid="{DF5A9412-A1C1-46C6-8609-0775BE28AFEB}" name="Notes"/>
  </tableColumns>
  <tableStyleInfo name="TableStyleLight1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F97E85E8-3A10-47CB-A002-AB3F816A6185}" name="Table811" displayName="Table811" ref="B43:K82" totalsRowShown="0">
  <autoFilter ref="B43:K82" xr:uid="{F97E85E8-3A10-47CB-A002-AB3F816A6185}"/>
  <tableColumns count="10">
    <tableColumn id="1" xr3:uid="{8DCDA9CE-B1B7-4BDC-B161-1F86A024DAD8}" name="Upgrade ID"/>
    <tableColumn id="3" xr3:uid="{4DB6A0E5-521E-4C28-90ED-B484234B7F77}" name="Category"/>
    <tableColumn id="4" xr3:uid="{C81564A6-87A6-4F6A-A872-63E4026CC2CE}" name="Prerequisite"/>
    <tableColumn id="5" xr3:uid="{8FA48441-6D71-40F7-ACB3-0208BCB7F90B}" name="Name"/>
    <tableColumn id="6" xr3:uid="{3F469FAF-2763-48EB-92D9-C6996B9FA65A}" name="Description"/>
    <tableColumn id="7" xr3:uid="{24CDDDDF-FB17-4E02-AE99-8BD36D0360F5}" name="Level"/>
    <tableColumn id="8" xr3:uid="{F36EB2F4-88C5-49F0-BF52-01565DE91661}" name="Cost Essence"/>
    <tableColumn id="9" xr3:uid="{1C23D897-7968-4272-AD3D-66DE55997953}" name="Value"/>
    <tableColumn id="10" xr3:uid="{177F77B1-38BA-43D9-AD49-FC50C783F832}" name="Max level"/>
    <tableColumn id="11" xr3:uid="{89E86CD8-FEF7-4CB2-AE32-3F107D5775E5}" name="Notes"/>
  </tableColumns>
  <tableStyleInfo name="TableStyleLight1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ACBD4866-A92B-4770-A91E-B5B720919FF8}" name="Table9" displayName="Table9" ref="A1:K10" totalsRowShown="0">
  <autoFilter ref="A1:K10" xr:uid="{ACBD4866-A92B-4770-A91E-B5B720919FF8}"/>
  <tableColumns count="11">
    <tableColumn id="1" xr3:uid="{CF586B0F-323E-474C-A0F3-A27DCF2DF1B3}" name="Boss ID"/>
    <tableColumn id="2" xr3:uid="{6BE35051-1175-45E6-A7C3-D9B0182B03E7}" name="Boss Name"/>
    <tableColumn id="3" xr3:uid="{93F8C641-B886-4BB3-A9DB-585E0E87CDD0}" name="Stage"/>
    <tableColumn id="4" xr3:uid="{C2392D44-5DD3-4E18-A3B0-4DC4E024FF0C}" name="level"/>
    <tableColumn id="5" xr3:uid="{72E1F6E9-1943-416B-BEDC-7243D9269FFA}" name="HP"/>
    <tableColumn id="6" xr3:uid="{8B75DDB4-A703-4C36-94B3-60BB614F2EBC}" name="Dmg"/>
    <tableColumn id="7" xr3:uid="{701A0C00-693D-4801-829C-E24928F13E4D}" name="Speed"/>
    <tableColumn id="8" xr3:uid="{DB1CDBD6-095F-4537-B666-778BB2FE22F7}" name="Phase Count"/>
    <tableColumn id="9" xr3:uid="{284858F3-3C6A-4B73-A7FB-F435EDF2C296}" name="Reward"/>
    <tableColumn id="10" xr3:uid="{835ED2F7-C0E4-4B43-8F19-0FE90E453889}" name="Difficulty"/>
    <tableColumn id="11" xr3:uid="{32163468-0A27-4655-AB3D-89ADC2C0D450}" name="Not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.xml"/><Relationship Id="rId2" Type="http://schemas.openxmlformats.org/officeDocument/2006/relationships/table" Target="../tables/table7.xml"/><Relationship Id="rId1" Type="http://schemas.openxmlformats.org/officeDocument/2006/relationships/table" Target="../tables/table6.xml"/><Relationship Id="rId4" Type="http://schemas.openxmlformats.org/officeDocument/2006/relationships/table" Target="../tables/table9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EFCAC7-807F-4D2F-90B6-B8642C53B2DE}">
  <dimension ref="A1:K37"/>
  <sheetViews>
    <sheetView zoomScaleNormal="100" workbookViewId="0">
      <selection activeCell="S30" sqref="S30"/>
    </sheetView>
  </sheetViews>
  <sheetFormatPr defaultRowHeight="14.5" x14ac:dyDescent="0.35"/>
  <cols>
    <col min="3" max="3" width="11.36328125" customWidth="1"/>
    <col min="4" max="4" width="10.54296875" customWidth="1"/>
    <col min="5" max="5" width="10.81640625" customWidth="1"/>
    <col min="7" max="7" width="12.81640625" customWidth="1"/>
    <col min="8" max="8" width="13.1796875" customWidth="1"/>
    <col min="9" max="9" width="12.90625" customWidth="1"/>
    <col min="10" max="10" width="11.36328125" customWidth="1"/>
    <col min="11" max="11" width="49.26953125" bestFit="1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5</v>
      </c>
      <c r="E1" t="s">
        <v>6</v>
      </c>
      <c r="F1" t="s">
        <v>3</v>
      </c>
      <c r="G1" t="s">
        <v>4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5">
      <c r="A2">
        <v>1</v>
      </c>
      <c r="B2">
        <v>1</v>
      </c>
      <c r="C2" t="s">
        <v>11</v>
      </c>
      <c r="D2">
        <v>3</v>
      </c>
      <c r="E2">
        <v>4</v>
      </c>
      <c r="F2">
        <v>1</v>
      </c>
      <c r="G2">
        <v>3</v>
      </c>
      <c r="H2">
        <v>5</v>
      </c>
      <c r="I2">
        <v>1</v>
      </c>
      <c r="J2">
        <v>0</v>
      </c>
    </row>
    <row r="3" spans="1:11" x14ac:dyDescent="0.35">
      <c r="A3">
        <v>1</v>
      </c>
      <c r="B3">
        <v>1</v>
      </c>
      <c r="C3" t="s">
        <v>12</v>
      </c>
      <c r="D3">
        <v>1</v>
      </c>
      <c r="E3">
        <v>1</v>
      </c>
      <c r="F3">
        <v>0</v>
      </c>
      <c r="G3">
        <v>0</v>
      </c>
      <c r="H3">
        <v>0</v>
      </c>
      <c r="I3">
        <v>3</v>
      </c>
      <c r="J3">
        <v>0</v>
      </c>
      <c r="K3" t="s">
        <v>16</v>
      </c>
    </row>
    <row r="4" spans="1:11" x14ac:dyDescent="0.35">
      <c r="A4">
        <v>1</v>
      </c>
      <c r="B4">
        <v>1</v>
      </c>
      <c r="C4" t="s">
        <v>13</v>
      </c>
      <c r="D4">
        <v>1</v>
      </c>
      <c r="E4">
        <v>1</v>
      </c>
      <c r="F4">
        <v>0</v>
      </c>
      <c r="G4">
        <v>0</v>
      </c>
      <c r="H4">
        <v>0</v>
      </c>
      <c r="I4">
        <v>0</v>
      </c>
      <c r="J4">
        <v>0.2</v>
      </c>
    </row>
    <row r="5" spans="1:11" x14ac:dyDescent="0.35">
      <c r="A5">
        <v>1</v>
      </c>
      <c r="B5">
        <v>1</v>
      </c>
      <c r="C5" t="s">
        <v>14</v>
      </c>
      <c r="D5">
        <v>1</v>
      </c>
      <c r="E5">
        <v>1</v>
      </c>
      <c r="F5">
        <v>2</v>
      </c>
      <c r="G5">
        <v>6</v>
      </c>
      <c r="H5">
        <v>8</v>
      </c>
      <c r="I5">
        <v>6</v>
      </c>
      <c r="J5">
        <v>0.1</v>
      </c>
      <c r="K5" t="s">
        <v>15</v>
      </c>
    </row>
    <row r="6" spans="1:11" x14ac:dyDescent="0.35">
      <c r="A6">
        <v>1</v>
      </c>
      <c r="B6">
        <v>2</v>
      </c>
      <c r="C6" t="s">
        <v>11</v>
      </c>
      <c r="D6">
        <v>3</v>
      </c>
      <c r="E6">
        <v>4</v>
      </c>
      <c r="F6">
        <v>1</v>
      </c>
      <c r="G6">
        <v>3</v>
      </c>
      <c r="H6">
        <v>5</v>
      </c>
      <c r="I6">
        <v>1</v>
      </c>
    </row>
    <row r="7" spans="1:11" x14ac:dyDescent="0.35">
      <c r="A7">
        <v>1</v>
      </c>
      <c r="B7">
        <v>2</v>
      </c>
      <c r="C7" t="s">
        <v>12</v>
      </c>
      <c r="D7">
        <v>1</v>
      </c>
      <c r="E7">
        <v>1</v>
      </c>
      <c r="F7">
        <v>0</v>
      </c>
      <c r="G7">
        <v>0</v>
      </c>
      <c r="H7">
        <v>0</v>
      </c>
      <c r="I7">
        <v>3</v>
      </c>
      <c r="J7">
        <v>0</v>
      </c>
    </row>
    <row r="8" spans="1:11" x14ac:dyDescent="0.35">
      <c r="A8">
        <v>1</v>
      </c>
      <c r="B8">
        <v>2</v>
      </c>
      <c r="C8" t="s">
        <v>13</v>
      </c>
      <c r="D8">
        <v>1</v>
      </c>
      <c r="E8">
        <v>1</v>
      </c>
      <c r="F8">
        <v>0</v>
      </c>
      <c r="G8">
        <v>0</v>
      </c>
      <c r="H8">
        <v>0</v>
      </c>
      <c r="I8">
        <v>0</v>
      </c>
      <c r="J8">
        <v>0.2</v>
      </c>
    </row>
    <row r="9" spans="1:11" x14ac:dyDescent="0.35">
      <c r="A9">
        <v>1</v>
      </c>
      <c r="B9">
        <v>2</v>
      </c>
      <c r="C9" t="s">
        <v>14</v>
      </c>
      <c r="D9">
        <v>1</v>
      </c>
      <c r="E9">
        <v>1</v>
      </c>
      <c r="F9">
        <v>2</v>
      </c>
      <c r="G9">
        <v>6</v>
      </c>
      <c r="H9">
        <v>8</v>
      </c>
      <c r="I9">
        <v>8</v>
      </c>
      <c r="J9">
        <v>0.1</v>
      </c>
    </row>
    <row r="10" spans="1:11" x14ac:dyDescent="0.35">
      <c r="A10">
        <v>1</v>
      </c>
      <c r="B10">
        <v>3</v>
      </c>
      <c r="C10" t="s">
        <v>11</v>
      </c>
      <c r="D10">
        <v>3</v>
      </c>
      <c r="E10">
        <v>5</v>
      </c>
      <c r="F10">
        <v>1</v>
      </c>
      <c r="G10">
        <v>4</v>
      </c>
      <c r="H10">
        <v>6</v>
      </c>
      <c r="I10">
        <v>1</v>
      </c>
      <c r="J10">
        <v>0</v>
      </c>
    </row>
    <row r="11" spans="1:11" x14ac:dyDescent="0.35">
      <c r="A11">
        <v>1</v>
      </c>
      <c r="B11">
        <v>3</v>
      </c>
      <c r="C11" t="s">
        <v>12</v>
      </c>
      <c r="D11">
        <v>1</v>
      </c>
      <c r="E11">
        <v>2</v>
      </c>
      <c r="F11">
        <v>0</v>
      </c>
      <c r="G11">
        <v>0</v>
      </c>
      <c r="H11">
        <v>0</v>
      </c>
      <c r="I11">
        <v>4</v>
      </c>
      <c r="J11">
        <v>0</v>
      </c>
    </row>
    <row r="12" spans="1:11" x14ac:dyDescent="0.35">
      <c r="A12">
        <v>1</v>
      </c>
      <c r="B12">
        <v>3</v>
      </c>
      <c r="C12" t="s">
        <v>13</v>
      </c>
      <c r="D12">
        <v>1</v>
      </c>
      <c r="E12">
        <v>1</v>
      </c>
      <c r="F12">
        <v>0</v>
      </c>
      <c r="G12">
        <v>0</v>
      </c>
      <c r="H12">
        <v>0</v>
      </c>
      <c r="I12">
        <v>0</v>
      </c>
      <c r="J12">
        <v>0.2</v>
      </c>
    </row>
    <row r="13" spans="1:11" x14ac:dyDescent="0.35">
      <c r="A13">
        <v>1</v>
      </c>
      <c r="B13">
        <v>3</v>
      </c>
      <c r="C13" t="s">
        <v>14</v>
      </c>
      <c r="D13">
        <v>1</v>
      </c>
      <c r="E13">
        <v>1</v>
      </c>
      <c r="F13">
        <v>3</v>
      </c>
      <c r="G13">
        <v>9</v>
      </c>
      <c r="H13">
        <v>12</v>
      </c>
      <c r="I13">
        <v>8</v>
      </c>
      <c r="J13">
        <v>0.1</v>
      </c>
      <c r="K13" t="s">
        <v>19</v>
      </c>
    </row>
    <row r="14" spans="1:11" x14ac:dyDescent="0.35">
      <c r="A14">
        <v>2</v>
      </c>
      <c r="B14">
        <v>1</v>
      </c>
      <c r="C14" t="s">
        <v>11</v>
      </c>
      <c r="D14">
        <v>3</v>
      </c>
      <c r="E14">
        <v>5</v>
      </c>
      <c r="F14">
        <v>2</v>
      </c>
      <c r="G14">
        <v>7</v>
      </c>
      <c r="H14">
        <v>11</v>
      </c>
      <c r="I14">
        <v>2</v>
      </c>
      <c r="J14">
        <v>0</v>
      </c>
    </row>
    <row r="15" spans="1:11" x14ac:dyDescent="0.35">
      <c r="A15">
        <v>2</v>
      </c>
      <c r="B15">
        <v>1</v>
      </c>
      <c r="C15" t="s">
        <v>12</v>
      </c>
      <c r="D15">
        <v>1</v>
      </c>
      <c r="E15">
        <v>2</v>
      </c>
      <c r="F15">
        <v>0</v>
      </c>
      <c r="G15">
        <v>0</v>
      </c>
      <c r="H15">
        <v>0</v>
      </c>
      <c r="I15">
        <v>4</v>
      </c>
      <c r="J15">
        <v>0</v>
      </c>
    </row>
    <row r="16" spans="1:11" x14ac:dyDescent="0.35">
      <c r="A16">
        <v>2</v>
      </c>
      <c r="B16">
        <v>1</v>
      </c>
      <c r="C16" t="s">
        <v>13</v>
      </c>
      <c r="D16">
        <v>1</v>
      </c>
      <c r="E16">
        <v>1</v>
      </c>
      <c r="F16">
        <v>0</v>
      </c>
      <c r="G16">
        <v>0</v>
      </c>
      <c r="H16">
        <v>0</v>
      </c>
      <c r="I16">
        <v>0</v>
      </c>
      <c r="J16">
        <v>0.2</v>
      </c>
    </row>
    <row r="17" spans="1:11" x14ac:dyDescent="0.35">
      <c r="A17">
        <v>2</v>
      </c>
      <c r="B17">
        <v>1</v>
      </c>
      <c r="C17" t="s">
        <v>14</v>
      </c>
      <c r="D17">
        <v>1</v>
      </c>
      <c r="E17">
        <v>1</v>
      </c>
      <c r="F17">
        <v>3</v>
      </c>
      <c r="G17">
        <v>11</v>
      </c>
      <c r="H17">
        <v>15</v>
      </c>
      <c r="I17">
        <v>10</v>
      </c>
      <c r="J17">
        <v>0.1</v>
      </c>
    </row>
    <row r="18" spans="1:11" x14ac:dyDescent="0.35">
      <c r="A18">
        <v>2</v>
      </c>
      <c r="B18">
        <v>2</v>
      </c>
      <c r="C18" t="s">
        <v>11</v>
      </c>
      <c r="D18">
        <v>4</v>
      </c>
      <c r="E18">
        <v>5</v>
      </c>
      <c r="F18">
        <v>2</v>
      </c>
      <c r="G18">
        <v>8</v>
      </c>
      <c r="H18">
        <v>12</v>
      </c>
      <c r="I18">
        <v>2</v>
      </c>
      <c r="J18">
        <v>0</v>
      </c>
    </row>
    <row r="19" spans="1:11" x14ac:dyDescent="0.35">
      <c r="A19">
        <v>2</v>
      </c>
      <c r="B19">
        <v>2</v>
      </c>
      <c r="C19" t="s">
        <v>12</v>
      </c>
      <c r="D19">
        <v>1</v>
      </c>
      <c r="E19">
        <v>2</v>
      </c>
      <c r="F19">
        <v>0</v>
      </c>
      <c r="G19">
        <v>0</v>
      </c>
      <c r="H19">
        <v>0</v>
      </c>
      <c r="I19">
        <v>5</v>
      </c>
      <c r="J19">
        <v>0</v>
      </c>
    </row>
    <row r="20" spans="1:11" x14ac:dyDescent="0.35">
      <c r="A20">
        <v>2</v>
      </c>
      <c r="B20">
        <v>2</v>
      </c>
      <c r="C20" t="s">
        <v>13</v>
      </c>
      <c r="D20">
        <v>1</v>
      </c>
      <c r="E20">
        <v>1</v>
      </c>
      <c r="F20">
        <v>0</v>
      </c>
      <c r="G20">
        <v>0</v>
      </c>
      <c r="H20">
        <v>0</v>
      </c>
      <c r="I20">
        <v>0</v>
      </c>
      <c r="J20">
        <v>0.2</v>
      </c>
    </row>
    <row r="21" spans="1:11" x14ac:dyDescent="0.35">
      <c r="A21">
        <v>2</v>
      </c>
      <c r="B21">
        <v>2</v>
      </c>
      <c r="C21" t="s">
        <v>14</v>
      </c>
      <c r="D21">
        <v>1</v>
      </c>
      <c r="E21">
        <v>1</v>
      </c>
      <c r="F21">
        <v>4</v>
      </c>
      <c r="G21">
        <v>17</v>
      </c>
      <c r="H21">
        <v>22</v>
      </c>
      <c r="I21">
        <v>10</v>
      </c>
      <c r="J21">
        <v>0.1</v>
      </c>
    </row>
    <row r="22" spans="1:11" x14ac:dyDescent="0.35">
      <c r="A22">
        <v>2</v>
      </c>
      <c r="B22">
        <v>3</v>
      </c>
      <c r="C22" t="s">
        <v>11</v>
      </c>
      <c r="D22">
        <v>4</v>
      </c>
      <c r="E22">
        <v>5</v>
      </c>
      <c r="F22">
        <v>3</v>
      </c>
      <c r="G22">
        <v>11</v>
      </c>
      <c r="H22">
        <v>16</v>
      </c>
      <c r="I22">
        <v>2</v>
      </c>
      <c r="J22">
        <v>0</v>
      </c>
    </row>
    <row r="23" spans="1:11" x14ac:dyDescent="0.35">
      <c r="A23">
        <v>2</v>
      </c>
      <c r="B23">
        <v>3</v>
      </c>
      <c r="C23" t="s">
        <v>12</v>
      </c>
      <c r="D23">
        <v>1</v>
      </c>
      <c r="E23">
        <v>2</v>
      </c>
      <c r="F23">
        <v>0</v>
      </c>
      <c r="G23">
        <v>0</v>
      </c>
      <c r="H23">
        <v>0</v>
      </c>
      <c r="I23">
        <v>5</v>
      </c>
      <c r="J23">
        <v>0</v>
      </c>
    </row>
    <row r="24" spans="1:11" x14ac:dyDescent="0.35">
      <c r="A24">
        <v>2</v>
      </c>
      <c r="B24">
        <v>3</v>
      </c>
      <c r="C24" t="s">
        <v>13</v>
      </c>
      <c r="D24">
        <v>1</v>
      </c>
      <c r="E24">
        <v>1</v>
      </c>
      <c r="F24">
        <v>0</v>
      </c>
      <c r="G24">
        <v>0</v>
      </c>
      <c r="H24">
        <v>0</v>
      </c>
      <c r="I24">
        <v>0</v>
      </c>
      <c r="J24">
        <v>0.2</v>
      </c>
    </row>
    <row r="25" spans="1:11" x14ac:dyDescent="0.35">
      <c r="A25">
        <v>2</v>
      </c>
      <c r="B25">
        <v>3</v>
      </c>
      <c r="C25" t="s">
        <v>14</v>
      </c>
      <c r="D25">
        <v>1</v>
      </c>
      <c r="E25">
        <v>1</v>
      </c>
      <c r="F25">
        <v>5</v>
      </c>
      <c r="G25">
        <v>22</v>
      </c>
      <c r="H25">
        <v>27</v>
      </c>
      <c r="I25">
        <v>10</v>
      </c>
      <c r="J25">
        <v>0.1</v>
      </c>
      <c r="K25" t="s">
        <v>20</v>
      </c>
    </row>
    <row r="26" spans="1:11" x14ac:dyDescent="0.35">
      <c r="A26">
        <v>3</v>
      </c>
      <c r="B26">
        <v>1</v>
      </c>
      <c r="C26" t="s">
        <v>11</v>
      </c>
      <c r="D26">
        <v>4</v>
      </c>
      <c r="E26">
        <v>6</v>
      </c>
      <c r="F26">
        <v>3</v>
      </c>
      <c r="G26">
        <v>14</v>
      </c>
      <c r="H26">
        <v>18</v>
      </c>
      <c r="I26">
        <v>3</v>
      </c>
      <c r="J26">
        <v>0</v>
      </c>
    </row>
    <row r="27" spans="1:11" x14ac:dyDescent="0.35">
      <c r="A27">
        <v>3</v>
      </c>
      <c r="B27">
        <v>1</v>
      </c>
      <c r="C27" t="s">
        <v>12</v>
      </c>
      <c r="D27">
        <v>1</v>
      </c>
      <c r="E27">
        <v>2</v>
      </c>
      <c r="F27">
        <v>0</v>
      </c>
      <c r="G27">
        <v>0</v>
      </c>
      <c r="H27">
        <v>0</v>
      </c>
      <c r="I27">
        <v>6</v>
      </c>
      <c r="J27">
        <v>0</v>
      </c>
    </row>
    <row r="28" spans="1:11" x14ac:dyDescent="0.35">
      <c r="A28">
        <v>3</v>
      </c>
      <c r="B28">
        <v>1</v>
      </c>
      <c r="C28" t="s">
        <v>13</v>
      </c>
      <c r="D28">
        <v>1</v>
      </c>
      <c r="E28">
        <v>1</v>
      </c>
      <c r="F28">
        <v>0</v>
      </c>
      <c r="G28">
        <v>0</v>
      </c>
      <c r="H28">
        <v>0</v>
      </c>
      <c r="I28">
        <v>0</v>
      </c>
      <c r="J28">
        <v>0.2</v>
      </c>
    </row>
    <row r="29" spans="1:11" x14ac:dyDescent="0.35">
      <c r="A29">
        <v>3</v>
      </c>
      <c r="B29">
        <v>1</v>
      </c>
      <c r="C29" t="s">
        <v>14</v>
      </c>
      <c r="D29">
        <v>1</v>
      </c>
      <c r="E29">
        <v>1</v>
      </c>
      <c r="F29">
        <v>6</v>
      </c>
      <c r="G29">
        <v>32</v>
      </c>
      <c r="H29">
        <v>42</v>
      </c>
      <c r="I29">
        <v>12</v>
      </c>
      <c r="J29">
        <v>0.1</v>
      </c>
    </row>
    <row r="30" spans="1:11" x14ac:dyDescent="0.35">
      <c r="A30">
        <v>3</v>
      </c>
      <c r="B30">
        <v>2</v>
      </c>
      <c r="C30" t="s">
        <v>11</v>
      </c>
      <c r="D30">
        <v>5</v>
      </c>
      <c r="E30">
        <v>7</v>
      </c>
      <c r="F30">
        <v>4</v>
      </c>
      <c r="G30">
        <v>18</v>
      </c>
      <c r="H30">
        <v>25</v>
      </c>
      <c r="I30">
        <v>3</v>
      </c>
      <c r="J30">
        <v>0</v>
      </c>
    </row>
    <row r="31" spans="1:11" x14ac:dyDescent="0.35">
      <c r="A31">
        <v>3</v>
      </c>
      <c r="B31">
        <v>2</v>
      </c>
      <c r="C31" t="s">
        <v>12</v>
      </c>
      <c r="D31">
        <v>2</v>
      </c>
      <c r="E31">
        <v>2</v>
      </c>
      <c r="F31">
        <v>0</v>
      </c>
      <c r="G31">
        <v>0</v>
      </c>
      <c r="H31">
        <v>0</v>
      </c>
      <c r="I31">
        <v>8</v>
      </c>
      <c r="J31">
        <v>0</v>
      </c>
    </row>
    <row r="32" spans="1:11" x14ac:dyDescent="0.35">
      <c r="A32">
        <v>3</v>
      </c>
      <c r="B32">
        <v>2</v>
      </c>
      <c r="C32" t="s">
        <v>13</v>
      </c>
      <c r="D32">
        <v>1</v>
      </c>
      <c r="E32">
        <v>1</v>
      </c>
      <c r="F32">
        <v>0</v>
      </c>
      <c r="G32">
        <v>0</v>
      </c>
      <c r="H32">
        <v>0</v>
      </c>
      <c r="I32">
        <v>0</v>
      </c>
      <c r="J32">
        <v>0.2</v>
      </c>
    </row>
    <row r="33" spans="1:11" x14ac:dyDescent="0.35">
      <c r="A33">
        <v>3</v>
      </c>
      <c r="B33">
        <v>2</v>
      </c>
      <c r="C33" t="s">
        <v>14</v>
      </c>
      <c r="D33">
        <v>1</v>
      </c>
      <c r="E33">
        <v>1</v>
      </c>
      <c r="F33">
        <v>7</v>
      </c>
      <c r="G33">
        <v>43</v>
      </c>
      <c r="H33">
        <v>52</v>
      </c>
      <c r="I33">
        <v>15</v>
      </c>
      <c r="J33">
        <v>0.1</v>
      </c>
    </row>
    <row r="34" spans="1:11" x14ac:dyDescent="0.35">
      <c r="A34">
        <v>3</v>
      </c>
      <c r="B34">
        <v>3</v>
      </c>
      <c r="C34" t="s">
        <v>11</v>
      </c>
      <c r="D34">
        <v>6</v>
      </c>
      <c r="E34">
        <v>7</v>
      </c>
      <c r="F34">
        <v>4</v>
      </c>
      <c r="G34">
        <v>20</v>
      </c>
      <c r="H34">
        <v>32</v>
      </c>
      <c r="I34">
        <v>3</v>
      </c>
      <c r="J34">
        <v>0</v>
      </c>
    </row>
    <row r="35" spans="1:11" x14ac:dyDescent="0.35">
      <c r="A35">
        <v>3</v>
      </c>
      <c r="B35">
        <v>3</v>
      </c>
      <c r="C35" t="s">
        <v>12</v>
      </c>
      <c r="D35">
        <v>2</v>
      </c>
      <c r="E35">
        <v>2</v>
      </c>
      <c r="F35">
        <v>0</v>
      </c>
      <c r="G35">
        <v>0</v>
      </c>
      <c r="H35">
        <v>0</v>
      </c>
      <c r="I35">
        <v>10</v>
      </c>
      <c r="J35">
        <v>0</v>
      </c>
      <c r="K35" t="s">
        <v>17</v>
      </c>
    </row>
    <row r="36" spans="1:11" x14ac:dyDescent="0.35">
      <c r="A36">
        <v>3</v>
      </c>
      <c r="B36">
        <v>3</v>
      </c>
      <c r="C36" t="s">
        <v>13</v>
      </c>
      <c r="D36">
        <v>1</v>
      </c>
      <c r="E36">
        <v>2</v>
      </c>
      <c r="F36">
        <v>0</v>
      </c>
      <c r="G36">
        <v>0</v>
      </c>
      <c r="H36">
        <v>0</v>
      </c>
      <c r="I36">
        <v>0</v>
      </c>
      <c r="J36">
        <v>0.35</v>
      </c>
    </row>
    <row r="37" spans="1:11" x14ac:dyDescent="0.35">
      <c r="A37">
        <v>3</v>
      </c>
      <c r="B37">
        <v>3</v>
      </c>
      <c r="C37" t="s">
        <v>14</v>
      </c>
      <c r="D37">
        <v>1</v>
      </c>
      <c r="E37">
        <v>1</v>
      </c>
      <c r="F37">
        <v>9</v>
      </c>
      <c r="G37">
        <v>60</v>
      </c>
      <c r="H37">
        <v>81</v>
      </c>
      <c r="I37">
        <v>30</v>
      </c>
      <c r="J37">
        <v>0.15</v>
      </c>
      <c r="K37" t="s">
        <v>18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22"/>
  <sheetViews>
    <sheetView tabSelected="1" zoomScale="93" workbookViewId="0">
      <pane ySplit="1" topLeftCell="A2" activePane="bottomLeft" state="frozen"/>
      <selection pane="bottomLeft" activeCell="C20" sqref="C20"/>
    </sheetView>
  </sheetViews>
  <sheetFormatPr defaultRowHeight="14.5" x14ac:dyDescent="0.35"/>
  <cols>
    <col min="1" max="1" width="19.36328125" bestFit="1" customWidth="1"/>
    <col min="2" max="2" width="25.36328125" bestFit="1" customWidth="1"/>
    <col min="3" max="3" width="22.90625" customWidth="1"/>
    <col min="4" max="4" width="22" customWidth="1"/>
    <col min="5" max="5" width="6.54296875" customWidth="1"/>
    <col min="6" max="6" width="15.6328125" customWidth="1"/>
    <col min="7" max="7" width="16.1796875" customWidth="1"/>
    <col min="8" max="8" width="17.453125" customWidth="1"/>
    <col min="9" max="9" width="19.453125" customWidth="1"/>
    <col min="10" max="10" width="17.26953125" customWidth="1"/>
    <col min="11" max="11" width="26" customWidth="1"/>
    <col min="12" max="12" width="11.26953125" customWidth="1"/>
    <col min="13" max="13" width="176.453125" bestFit="1" customWidth="1"/>
  </cols>
  <sheetData>
    <row r="1" spans="1:13" s="2" customFormat="1" x14ac:dyDescent="0.35">
      <c r="A1" s="2" t="s">
        <v>21</v>
      </c>
      <c r="B1" s="2" t="s">
        <v>22</v>
      </c>
      <c r="C1" s="2" t="s">
        <v>23</v>
      </c>
      <c r="D1" s="2" t="s">
        <v>92</v>
      </c>
      <c r="E1" s="2" t="s">
        <v>24</v>
      </c>
      <c r="F1" s="2" t="s">
        <v>25</v>
      </c>
      <c r="G1" s="2" t="s">
        <v>26</v>
      </c>
      <c r="H1" s="2" t="s">
        <v>144</v>
      </c>
      <c r="I1" s="2" t="s">
        <v>145</v>
      </c>
      <c r="J1" s="2" t="s">
        <v>146</v>
      </c>
      <c r="K1" s="2" t="s">
        <v>147</v>
      </c>
      <c r="L1" s="2" t="s">
        <v>29</v>
      </c>
      <c r="M1" s="2" t="s">
        <v>10</v>
      </c>
    </row>
    <row r="2" spans="1:13" x14ac:dyDescent="0.35">
      <c r="A2" t="s">
        <v>93</v>
      </c>
      <c r="B2" t="s">
        <v>91</v>
      </c>
      <c r="C2" t="s">
        <v>148</v>
      </c>
      <c r="D2">
        <v>1</v>
      </c>
      <c r="E2">
        <v>10</v>
      </c>
      <c r="F2">
        <v>3</v>
      </c>
      <c r="G2">
        <v>0</v>
      </c>
      <c r="H2">
        <v>18</v>
      </c>
      <c r="I2">
        <v>22</v>
      </c>
      <c r="J2">
        <v>0.35</v>
      </c>
      <c r="K2">
        <v>90</v>
      </c>
      <c r="M2" t="s">
        <v>149</v>
      </c>
    </row>
    <row r="3" spans="1:13" x14ac:dyDescent="0.35">
      <c r="A3" t="s">
        <v>150</v>
      </c>
      <c r="B3" t="s">
        <v>151</v>
      </c>
      <c r="C3" t="s">
        <v>152</v>
      </c>
      <c r="E3">
        <v>16</v>
      </c>
      <c r="F3">
        <v>1</v>
      </c>
      <c r="G3">
        <v>0</v>
      </c>
      <c r="H3">
        <v>40</v>
      </c>
      <c r="I3">
        <v>20</v>
      </c>
      <c r="J3">
        <v>0.8</v>
      </c>
      <c r="K3">
        <v>180</v>
      </c>
      <c r="M3" t="s">
        <v>153</v>
      </c>
    </row>
    <row r="4" spans="1:13" x14ac:dyDescent="0.35">
      <c r="A4" t="s">
        <v>154</v>
      </c>
      <c r="B4" t="s">
        <v>155</v>
      </c>
      <c r="C4" t="s">
        <v>156</v>
      </c>
      <c r="E4">
        <v>20</v>
      </c>
      <c r="F4">
        <v>5</v>
      </c>
      <c r="G4">
        <v>0</v>
      </c>
      <c r="H4">
        <v>40</v>
      </c>
      <c r="I4">
        <v>20</v>
      </c>
      <c r="J4">
        <v>0.8</v>
      </c>
      <c r="K4">
        <v>0</v>
      </c>
      <c r="M4" t="s">
        <v>157</v>
      </c>
    </row>
    <row r="5" spans="1:13" x14ac:dyDescent="0.35">
      <c r="A5" t="s">
        <v>158</v>
      </c>
      <c r="B5" t="s">
        <v>159</v>
      </c>
      <c r="C5" t="s">
        <v>216</v>
      </c>
      <c r="E5">
        <v>20</v>
      </c>
      <c r="F5">
        <v>0</v>
      </c>
      <c r="G5">
        <v>5</v>
      </c>
      <c r="H5">
        <v>40</v>
      </c>
      <c r="I5">
        <v>0</v>
      </c>
      <c r="J5">
        <v>0.8</v>
      </c>
      <c r="K5">
        <v>0</v>
      </c>
      <c r="M5" t="s">
        <v>160</v>
      </c>
    </row>
    <row r="6" spans="1:13" x14ac:dyDescent="0.35">
      <c r="A6" t="s">
        <v>161</v>
      </c>
      <c r="B6" t="s">
        <v>162</v>
      </c>
      <c r="C6" t="s">
        <v>163</v>
      </c>
      <c r="E6">
        <v>20</v>
      </c>
      <c r="F6">
        <v>5</v>
      </c>
      <c r="G6">
        <v>0</v>
      </c>
      <c r="H6">
        <v>40</v>
      </c>
      <c r="I6">
        <v>20</v>
      </c>
      <c r="J6">
        <v>0.8</v>
      </c>
      <c r="K6">
        <v>0</v>
      </c>
      <c r="M6" t="s">
        <v>164</v>
      </c>
    </row>
    <row r="7" spans="1:13" x14ac:dyDescent="0.35">
      <c r="A7" t="s">
        <v>165</v>
      </c>
      <c r="B7" t="s">
        <v>166</v>
      </c>
      <c r="C7" t="s">
        <v>163</v>
      </c>
      <c r="E7">
        <v>20</v>
      </c>
      <c r="F7">
        <v>0</v>
      </c>
      <c r="G7">
        <v>5</v>
      </c>
      <c r="H7">
        <v>40</v>
      </c>
      <c r="I7">
        <v>0</v>
      </c>
      <c r="J7">
        <v>0.8</v>
      </c>
      <c r="K7">
        <v>0</v>
      </c>
      <c r="M7" t="s">
        <v>167</v>
      </c>
    </row>
    <row r="8" spans="1:13" x14ac:dyDescent="0.35">
      <c r="A8" t="s">
        <v>168</v>
      </c>
      <c r="B8" t="s">
        <v>169</v>
      </c>
      <c r="C8" t="s">
        <v>163</v>
      </c>
      <c r="E8">
        <v>20</v>
      </c>
      <c r="F8">
        <v>0</v>
      </c>
      <c r="G8">
        <v>5</v>
      </c>
      <c r="H8">
        <v>40</v>
      </c>
      <c r="I8">
        <v>0</v>
      </c>
      <c r="J8">
        <v>0.8</v>
      </c>
      <c r="K8">
        <v>0</v>
      </c>
      <c r="M8" t="s">
        <v>167</v>
      </c>
    </row>
    <row r="9" spans="1:13" x14ac:dyDescent="0.35">
      <c r="A9" t="s">
        <v>170</v>
      </c>
      <c r="B9" t="s">
        <v>171</v>
      </c>
      <c r="C9" t="s">
        <v>163</v>
      </c>
      <c r="E9">
        <v>20</v>
      </c>
      <c r="F9">
        <v>5</v>
      </c>
      <c r="G9">
        <v>0</v>
      </c>
      <c r="H9">
        <v>40</v>
      </c>
      <c r="I9">
        <v>20</v>
      </c>
      <c r="J9">
        <v>0.8</v>
      </c>
      <c r="K9">
        <v>0</v>
      </c>
      <c r="M9" t="s">
        <v>172</v>
      </c>
    </row>
    <row r="10" spans="1:13" x14ac:dyDescent="0.35">
      <c r="A10" t="s">
        <v>173</v>
      </c>
      <c r="B10" t="s">
        <v>174</v>
      </c>
      <c r="C10" t="s">
        <v>163</v>
      </c>
      <c r="E10">
        <v>20</v>
      </c>
      <c r="F10">
        <v>5</v>
      </c>
      <c r="G10">
        <v>0</v>
      </c>
      <c r="H10">
        <v>40</v>
      </c>
      <c r="I10">
        <v>20</v>
      </c>
      <c r="J10">
        <v>0.8</v>
      </c>
      <c r="K10">
        <v>0</v>
      </c>
      <c r="M10" t="s">
        <v>172</v>
      </c>
    </row>
    <row r="11" spans="1:13" x14ac:dyDescent="0.35">
      <c r="A11" t="s">
        <v>175</v>
      </c>
      <c r="B11" t="s">
        <v>176</v>
      </c>
      <c r="C11" t="s">
        <v>177</v>
      </c>
      <c r="E11">
        <v>20</v>
      </c>
      <c r="F11">
        <v>5</v>
      </c>
      <c r="G11">
        <v>0</v>
      </c>
      <c r="H11">
        <v>40</v>
      </c>
      <c r="I11">
        <v>20</v>
      </c>
      <c r="J11">
        <v>0.8</v>
      </c>
      <c r="K11">
        <v>0</v>
      </c>
      <c r="M11" t="s">
        <v>178</v>
      </c>
    </row>
    <row r="12" spans="1:13" x14ac:dyDescent="0.35">
      <c r="A12" t="s">
        <v>179</v>
      </c>
      <c r="B12" t="s">
        <v>180</v>
      </c>
      <c r="C12" t="s">
        <v>181</v>
      </c>
      <c r="E12">
        <v>20</v>
      </c>
      <c r="F12">
        <v>0</v>
      </c>
      <c r="G12">
        <v>0</v>
      </c>
      <c r="H12">
        <v>0</v>
      </c>
      <c r="I12">
        <v>0</v>
      </c>
      <c r="K12">
        <v>120</v>
      </c>
      <c r="M12" t="s">
        <v>182</v>
      </c>
    </row>
    <row r="13" spans="1:13" x14ac:dyDescent="0.35">
      <c r="A13" t="s">
        <v>183</v>
      </c>
      <c r="B13" t="s">
        <v>184</v>
      </c>
      <c r="C13" t="s">
        <v>185</v>
      </c>
      <c r="M13" t="s">
        <v>186</v>
      </c>
    </row>
    <row r="14" spans="1:13" x14ac:dyDescent="0.35">
      <c r="A14" t="s">
        <v>187</v>
      </c>
      <c r="B14" t="s">
        <v>188</v>
      </c>
      <c r="C14" t="s">
        <v>189</v>
      </c>
      <c r="M14" t="s">
        <v>190</v>
      </c>
    </row>
    <row r="15" spans="1:13" x14ac:dyDescent="0.35">
      <c r="A15" t="s">
        <v>191</v>
      </c>
      <c r="B15" t="s">
        <v>192</v>
      </c>
      <c r="C15" t="s">
        <v>193</v>
      </c>
      <c r="M15" t="s">
        <v>186</v>
      </c>
    </row>
    <row r="16" spans="1:13" x14ac:dyDescent="0.35">
      <c r="A16" t="s">
        <v>194</v>
      </c>
      <c r="B16" t="s">
        <v>195</v>
      </c>
      <c r="C16" t="s">
        <v>196</v>
      </c>
      <c r="M16" t="s">
        <v>190</v>
      </c>
    </row>
    <row r="17" spans="1:13" x14ac:dyDescent="0.35">
      <c r="A17" t="s">
        <v>197</v>
      </c>
      <c r="B17" t="s">
        <v>198</v>
      </c>
      <c r="C17" t="s">
        <v>199</v>
      </c>
      <c r="M17" t="s">
        <v>200</v>
      </c>
    </row>
    <row r="18" spans="1:13" x14ac:dyDescent="0.35">
      <c r="A18" t="s">
        <v>201</v>
      </c>
      <c r="B18" t="s">
        <v>202</v>
      </c>
      <c r="C18" t="s">
        <v>203</v>
      </c>
      <c r="M18" t="s">
        <v>186</v>
      </c>
    </row>
    <row r="19" spans="1:13" x14ac:dyDescent="0.35">
      <c r="A19" t="s">
        <v>204</v>
      </c>
      <c r="B19" t="s">
        <v>205</v>
      </c>
      <c r="C19" t="s">
        <v>206</v>
      </c>
      <c r="M19" t="s">
        <v>207</v>
      </c>
    </row>
    <row r="20" spans="1:13" x14ac:dyDescent="0.35">
      <c r="A20" t="s">
        <v>208</v>
      </c>
      <c r="B20" t="s">
        <v>209</v>
      </c>
      <c r="C20" t="s">
        <v>217</v>
      </c>
      <c r="M20" t="s">
        <v>210</v>
      </c>
    </row>
    <row r="21" spans="1:13" x14ac:dyDescent="0.35">
      <c r="A21" t="s">
        <v>211</v>
      </c>
      <c r="B21" t="s">
        <v>212</v>
      </c>
      <c r="C21" t="s">
        <v>217</v>
      </c>
      <c r="M21" t="s">
        <v>190</v>
      </c>
    </row>
    <row r="22" spans="1:13" x14ac:dyDescent="0.35">
      <c r="A22" t="s">
        <v>213</v>
      </c>
      <c r="B22" t="s">
        <v>214</v>
      </c>
      <c r="C22" t="s">
        <v>215</v>
      </c>
      <c r="M22" t="s">
        <v>200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4D8433-328C-4BCC-85ED-766D764BAD18}">
  <dimension ref="A1:K1"/>
  <sheetViews>
    <sheetView workbookViewId="0">
      <selection activeCell="B1" sqref="B1"/>
    </sheetView>
  </sheetViews>
  <sheetFormatPr defaultRowHeight="14.5" x14ac:dyDescent="0.35"/>
  <cols>
    <col min="1" max="1" width="12.08984375" bestFit="1" customWidth="1"/>
    <col min="2" max="2" width="15.26953125" bestFit="1" customWidth="1"/>
    <col min="3" max="3" width="11.26953125" bestFit="1" customWidth="1"/>
    <col min="4" max="4" width="11.453125" bestFit="1" customWidth="1"/>
    <col min="5" max="5" width="8.26953125" bestFit="1" customWidth="1"/>
    <col min="6" max="6" width="12.36328125" bestFit="1" customWidth="1"/>
    <col min="7" max="7" width="14.453125" bestFit="1" customWidth="1"/>
    <col min="8" max="8" width="13.36328125" bestFit="1" customWidth="1"/>
    <col min="9" max="9" width="18.1796875" bestFit="1" customWidth="1"/>
    <col min="10" max="10" width="12.81640625" bestFit="1" customWidth="1"/>
    <col min="11" max="11" width="7.90625" bestFit="1" customWidth="1"/>
  </cols>
  <sheetData>
    <row r="1" spans="1:11" x14ac:dyDescent="0.35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28</v>
      </c>
      <c r="G1" t="s">
        <v>35</v>
      </c>
      <c r="H1" t="s">
        <v>36</v>
      </c>
      <c r="I1" t="s">
        <v>37</v>
      </c>
      <c r="J1" t="s">
        <v>38</v>
      </c>
      <c r="K1" t="s">
        <v>10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20"/>
  <sheetViews>
    <sheetView zoomScale="63" zoomScaleNormal="55" workbookViewId="0">
      <pane ySplit="1" topLeftCell="A2" activePane="bottomLeft" state="frozen"/>
      <selection pane="bottomLeft" activeCell="B6" sqref="B6"/>
    </sheetView>
  </sheetViews>
  <sheetFormatPr defaultRowHeight="14.5" x14ac:dyDescent="0.35"/>
  <cols>
    <col min="1" max="1" width="18.08984375" bestFit="1" customWidth="1"/>
    <col min="2" max="2" width="19.453125" bestFit="1" customWidth="1"/>
    <col min="3" max="3" width="37.81640625" bestFit="1" customWidth="1"/>
    <col min="4" max="4" width="10.7265625" customWidth="1"/>
    <col min="5" max="5" width="11.08984375" customWidth="1"/>
    <col min="6" max="6" width="10.453125" customWidth="1"/>
    <col min="7" max="7" width="13.90625" customWidth="1"/>
    <col min="8" max="8" width="13.36328125" customWidth="1"/>
    <col min="9" max="9" width="8.6328125" customWidth="1"/>
    <col min="10" max="10" width="67.08984375" bestFit="1" customWidth="1"/>
    <col min="11" max="11" width="19.36328125" customWidth="1"/>
    <col min="12" max="12" width="8.36328125" bestFit="1" customWidth="1"/>
  </cols>
  <sheetData>
    <row r="1" spans="1:12" x14ac:dyDescent="0.35">
      <c r="A1" t="s">
        <v>39</v>
      </c>
      <c r="B1" t="s">
        <v>40</v>
      </c>
      <c r="C1" t="s">
        <v>41</v>
      </c>
      <c r="D1" t="s">
        <v>42</v>
      </c>
      <c r="E1" t="s">
        <v>43</v>
      </c>
      <c r="F1" t="s">
        <v>44</v>
      </c>
      <c r="G1" t="s">
        <v>45</v>
      </c>
      <c r="H1" t="s">
        <v>94</v>
      </c>
      <c r="I1" t="s">
        <v>29</v>
      </c>
      <c r="J1" t="s">
        <v>10</v>
      </c>
      <c r="K1" t="s">
        <v>95</v>
      </c>
      <c r="L1" t="s">
        <v>96</v>
      </c>
    </row>
    <row r="2" spans="1:12" x14ac:dyDescent="0.35">
      <c r="A2" t="s">
        <v>97</v>
      </c>
      <c r="B2" t="s">
        <v>68</v>
      </c>
      <c r="C2" t="s">
        <v>98</v>
      </c>
      <c r="D2">
        <v>1</v>
      </c>
      <c r="E2">
        <v>3</v>
      </c>
      <c r="F2">
        <v>0</v>
      </c>
      <c r="G2">
        <v>0.3</v>
      </c>
      <c r="H2">
        <v>1</v>
      </c>
      <c r="I2">
        <v>1</v>
      </c>
      <c r="J2" t="s">
        <v>99</v>
      </c>
      <c r="K2">
        <f t="shared" ref="K2:K6" si="0">IF(I2=0,0,H2)</f>
        <v>1</v>
      </c>
      <c r="L2" t="s">
        <v>100</v>
      </c>
    </row>
    <row r="3" spans="1:12" x14ac:dyDescent="0.35">
      <c r="A3" t="s">
        <v>101</v>
      </c>
      <c r="B3" t="s">
        <v>69</v>
      </c>
      <c r="C3" t="s">
        <v>102</v>
      </c>
      <c r="D3">
        <v>1</v>
      </c>
      <c r="E3">
        <v>2</v>
      </c>
      <c r="F3">
        <v>0</v>
      </c>
      <c r="G3">
        <v>0.4</v>
      </c>
      <c r="H3">
        <v>2</v>
      </c>
      <c r="I3">
        <v>1</v>
      </c>
      <c r="J3" t="s">
        <v>103</v>
      </c>
      <c r="K3">
        <f t="shared" si="0"/>
        <v>2</v>
      </c>
      <c r="L3" t="s">
        <v>100</v>
      </c>
    </row>
    <row r="4" spans="1:12" x14ac:dyDescent="0.35">
      <c r="A4" t="s">
        <v>104</v>
      </c>
      <c r="B4" t="s">
        <v>73</v>
      </c>
      <c r="C4" t="s">
        <v>105</v>
      </c>
      <c r="D4">
        <v>3</v>
      </c>
      <c r="E4">
        <v>3</v>
      </c>
      <c r="F4">
        <v>0</v>
      </c>
      <c r="G4">
        <v>0.25</v>
      </c>
      <c r="H4">
        <v>2</v>
      </c>
      <c r="I4">
        <v>1</v>
      </c>
      <c r="J4" t="s">
        <v>106</v>
      </c>
      <c r="K4">
        <f t="shared" si="0"/>
        <v>2</v>
      </c>
      <c r="L4" t="s">
        <v>100</v>
      </c>
    </row>
    <row r="5" spans="1:12" x14ac:dyDescent="0.35">
      <c r="A5" t="s">
        <v>107</v>
      </c>
      <c r="B5" t="s">
        <v>74</v>
      </c>
      <c r="C5" t="s">
        <v>108</v>
      </c>
      <c r="D5">
        <v>2</v>
      </c>
      <c r="E5">
        <v>3</v>
      </c>
      <c r="F5">
        <v>0</v>
      </c>
      <c r="G5">
        <v>0.2</v>
      </c>
      <c r="H5">
        <v>2</v>
      </c>
      <c r="I5">
        <v>1</v>
      </c>
      <c r="J5" t="s">
        <v>109</v>
      </c>
      <c r="K5">
        <f t="shared" si="0"/>
        <v>2</v>
      </c>
      <c r="L5" t="s">
        <v>100</v>
      </c>
    </row>
    <row r="6" spans="1:12" x14ac:dyDescent="0.35">
      <c r="A6" t="s">
        <v>110</v>
      </c>
      <c r="B6" t="s">
        <v>111</v>
      </c>
      <c r="C6" t="s">
        <v>112</v>
      </c>
      <c r="D6">
        <v>1</v>
      </c>
      <c r="E6">
        <v>3</v>
      </c>
      <c r="F6">
        <v>0</v>
      </c>
      <c r="G6">
        <v>0.02</v>
      </c>
      <c r="H6">
        <v>2</v>
      </c>
      <c r="I6">
        <v>1</v>
      </c>
      <c r="J6" t="s">
        <v>113</v>
      </c>
      <c r="K6">
        <f t="shared" si="0"/>
        <v>2</v>
      </c>
      <c r="L6" t="s">
        <v>100</v>
      </c>
    </row>
    <row r="7" spans="1:12" x14ac:dyDescent="0.35">
      <c r="A7" t="s">
        <v>115</v>
      </c>
      <c r="B7" t="s">
        <v>66</v>
      </c>
      <c r="C7" t="s">
        <v>116</v>
      </c>
      <c r="D7">
        <v>2</v>
      </c>
      <c r="E7">
        <v>3</v>
      </c>
      <c r="F7">
        <v>0.15</v>
      </c>
      <c r="G7">
        <v>0</v>
      </c>
      <c r="H7">
        <v>2</v>
      </c>
      <c r="I7">
        <v>1</v>
      </c>
      <c r="J7" t="s">
        <v>117</v>
      </c>
      <c r="K7">
        <f>IF(I7=0,0,H7)</f>
        <v>2</v>
      </c>
      <c r="L7" t="s">
        <v>100</v>
      </c>
    </row>
    <row r="8" spans="1:12" x14ac:dyDescent="0.35">
      <c r="A8" t="s">
        <v>118</v>
      </c>
      <c r="B8" t="s">
        <v>67</v>
      </c>
      <c r="C8" t="s">
        <v>119</v>
      </c>
      <c r="D8">
        <v>1</v>
      </c>
      <c r="E8">
        <v>3</v>
      </c>
      <c r="F8">
        <v>0.2</v>
      </c>
      <c r="G8">
        <v>0</v>
      </c>
      <c r="H8">
        <v>1</v>
      </c>
      <c r="I8">
        <v>1</v>
      </c>
      <c r="J8" t="s">
        <v>120</v>
      </c>
      <c r="K8">
        <f>IF(I8=0,0,H8)</f>
        <v>1</v>
      </c>
      <c r="L8" t="s">
        <v>100</v>
      </c>
    </row>
    <row r="9" spans="1:12" x14ac:dyDescent="0.35">
      <c r="A9" t="s">
        <v>121</v>
      </c>
      <c r="B9" t="s">
        <v>122</v>
      </c>
      <c r="C9" t="s">
        <v>123</v>
      </c>
      <c r="D9">
        <v>1</v>
      </c>
      <c r="E9">
        <v>3</v>
      </c>
      <c r="G9">
        <v>0</v>
      </c>
      <c r="H9">
        <v>2</v>
      </c>
      <c r="I9">
        <v>1</v>
      </c>
      <c r="J9" t="s">
        <v>124</v>
      </c>
      <c r="K9">
        <f>IF(I9=0,0,H9)</f>
        <v>2</v>
      </c>
      <c r="L9" t="s">
        <v>100</v>
      </c>
    </row>
    <row r="10" spans="1:12" x14ac:dyDescent="0.35">
      <c r="A10" t="s">
        <v>125</v>
      </c>
      <c r="B10" t="s">
        <v>72</v>
      </c>
      <c r="C10" t="s">
        <v>126</v>
      </c>
      <c r="D10">
        <v>2</v>
      </c>
      <c r="E10">
        <v>3</v>
      </c>
      <c r="F10">
        <v>1</v>
      </c>
      <c r="G10">
        <v>0</v>
      </c>
      <c r="I10">
        <v>0</v>
      </c>
      <c r="J10" t="s">
        <v>127</v>
      </c>
      <c r="K10">
        <f>IF(I10=0,0,H10)</f>
        <v>0</v>
      </c>
      <c r="L10" t="s">
        <v>114</v>
      </c>
    </row>
    <row r="11" spans="1:12" x14ac:dyDescent="0.35">
      <c r="A11" t="s">
        <v>128</v>
      </c>
      <c r="B11" t="s">
        <v>129</v>
      </c>
      <c r="C11" t="s">
        <v>130</v>
      </c>
      <c r="D11">
        <v>1</v>
      </c>
      <c r="E11">
        <v>3</v>
      </c>
      <c r="F11">
        <v>0</v>
      </c>
      <c r="G11">
        <v>0.15</v>
      </c>
      <c r="H11">
        <v>1</v>
      </c>
      <c r="I11">
        <v>1</v>
      </c>
      <c r="J11" t="s">
        <v>131</v>
      </c>
      <c r="K11">
        <f>IF(I11=0,0,H11)</f>
        <v>1</v>
      </c>
      <c r="L11" t="s">
        <v>100</v>
      </c>
    </row>
    <row r="12" spans="1:12" x14ac:dyDescent="0.35">
      <c r="A12" t="s">
        <v>132</v>
      </c>
      <c r="B12" t="s">
        <v>133</v>
      </c>
      <c r="C12" t="s">
        <v>134</v>
      </c>
      <c r="D12">
        <v>1</v>
      </c>
      <c r="E12">
        <v>3</v>
      </c>
      <c r="F12">
        <v>0.25</v>
      </c>
      <c r="G12">
        <v>0</v>
      </c>
      <c r="H12">
        <v>2</v>
      </c>
      <c r="I12">
        <v>1</v>
      </c>
      <c r="J12" t="s">
        <v>135</v>
      </c>
      <c r="K12">
        <f>IF(I12=0,0,H12)</f>
        <v>2</v>
      </c>
      <c r="L12" t="s">
        <v>100</v>
      </c>
    </row>
    <row r="13" spans="1:12" x14ac:dyDescent="0.35">
      <c r="A13" t="s">
        <v>136</v>
      </c>
      <c r="B13" t="s">
        <v>137</v>
      </c>
      <c r="C13" t="s">
        <v>138</v>
      </c>
      <c r="D13">
        <v>1</v>
      </c>
      <c r="E13">
        <v>3</v>
      </c>
      <c r="F13">
        <v>0</v>
      </c>
      <c r="G13">
        <v>0.5</v>
      </c>
      <c r="H13">
        <v>2</v>
      </c>
      <c r="I13">
        <v>1</v>
      </c>
      <c r="J13" t="s">
        <v>139</v>
      </c>
      <c r="K13">
        <f>IF(I13=0,0,H13)</f>
        <v>2</v>
      </c>
      <c r="L13" t="s">
        <v>100</v>
      </c>
    </row>
    <row r="14" spans="1:12" x14ac:dyDescent="0.35">
      <c r="A14" t="s">
        <v>140</v>
      </c>
      <c r="B14" t="s">
        <v>141</v>
      </c>
      <c r="C14" t="s">
        <v>142</v>
      </c>
      <c r="D14">
        <v>1</v>
      </c>
      <c r="E14">
        <v>3</v>
      </c>
      <c r="F14">
        <v>0</v>
      </c>
      <c r="G14">
        <v>0.5</v>
      </c>
      <c r="H14">
        <v>3</v>
      </c>
      <c r="I14">
        <v>1</v>
      </c>
      <c r="J14" t="s">
        <v>143</v>
      </c>
      <c r="K14">
        <f>IF(I14=0,0,H14)</f>
        <v>3</v>
      </c>
      <c r="L14" t="s">
        <v>100</v>
      </c>
    </row>
    <row r="18" spans="1:12" x14ac:dyDescent="0.3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</row>
    <row r="19" spans="1:12" x14ac:dyDescent="0.3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</row>
    <row r="20" spans="1:12" x14ac:dyDescent="0.3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</row>
  </sheetData>
  <mergeCells count="3">
    <mergeCell ref="A18:L18"/>
    <mergeCell ref="A19:L19"/>
    <mergeCell ref="A20:L20"/>
  </mergeCell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D6FB12-A7A7-493F-A518-EF0F017F0347}">
  <dimension ref="A1:L4"/>
  <sheetViews>
    <sheetView zoomScale="58" workbookViewId="0">
      <selection activeCell="B5" sqref="B5"/>
    </sheetView>
  </sheetViews>
  <sheetFormatPr defaultRowHeight="14.5" x14ac:dyDescent="0.35"/>
  <cols>
    <col min="1" max="1" width="10.90625" customWidth="1"/>
    <col min="2" max="2" width="14" customWidth="1"/>
    <col min="3" max="3" width="45.90625" bestFit="1" customWidth="1"/>
    <col min="6" max="6" width="10.7265625" customWidth="1"/>
    <col min="7" max="7" width="13.6328125" bestFit="1" customWidth="1"/>
    <col min="10" max="10" width="10.7265625" customWidth="1"/>
    <col min="11" max="11" width="11.08984375" customWidth="1"/>
    <col min="12" max="12" width="36.453125" customWidth="1"/>
  </cols>
  <sheetData>
    <row r="1" spans="1:12" x14ac:dyDescent="0.35">
      <c r="A1" t="s">
        <v>47</v>
      </c>
      <c r="B1" t="s">
        <v>48</v>
      </c>
      <c r="C1" t="s">
        <v>41</v>
      </c>
      <c r="D1" t="s">
        <v>49</v>
      </c>
      <c r="E1" t="s">
        <v>50</v>
      </c>
      <c r="F1" t="s">
        <v>51</v>
      </c>
      <c r="G1" t="s">
        <v>52</v>
      </c>
      <c r="H1" t="s">
        <v>53</v>
      </c>
      <c r="I1" t="s">
        <v>29</v>
      </c>
      <c r="J1" t="s">
        <v>42</v>
      </c>
      <c r="K1" t="s">
        <v>43</v>
      </c>
      <c r="L1" t="s">
        <v>10</v>
      </c>
    </row>
    <row r="2" spans="1:12" x14ac:dyDescent="0.35">
      <c r="B2" t="s">
        <v>75</v>
      </c>
      <c r="C2" t="s">
        <v>76</v>
      </c>
      <c r="D2" t="s">
        <v>75</v>
      </c>
      <c r="F2">
        <v>0</v>
      </c>
      <c r="G2" t="s">
        <v>77</v>
      </c>
      <c r="H2">
        <v>0</v>
      </c>
      <c r="J2" t="s">
        <v>71</v>
      </c>
      <c r="K2" t="s">
        <v>70</v>
      </c>
    </row>
    <row r="3" spans="1:12" x14ac:dyDescent="0.35">
      <c r="B3" t="s">
        <v>78</v>
      </c>
      <c r="C3" t="s">
        <v>80</v>
      </c>
      <c r="D3" t="s">
        <v>79</v>
      </c>
      <c r="F3">
        <v>5</v>
      </c>
      <c r="G3" t="s">
        <v>81</v>
      </c>
      <c r="H3">
        <v>8</v>
      </c>
      <c r="J3" t="s">
        <v>71</v>
      </c>
      <c r="K3" t="s">
        <v>70</v>
      </c>
    </row>
    <row r="4" spans="1:12" x14ac:dyDescent="0.35">
      <c r="B4" t="s">
        <v>82</v>
      </c>
      <c r="C4" t="s">
        <v>83</v>
      </c>
      <c r="D4" t="s">
        <v>84</v>
      </c>
      <c r="F4">
        <v>3</v>
      </c>
      <c r="G4" t="s">
        <v>85</v>
      </c>
      <c r="H4">
        <v>4</v>
      </c>
      <c r="J4" t="s">
        <v>71</v>
      </c>
      <c r="K4" t="s">
        <v>70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5B7AEB-DB57-4CAE-A37A-85F36CF4E8BD}">
  <dimension ref="A1:AG43"/>
  <sheetViews>
    <sheetView workbookViewId="0">
      <selection activeCell="A44" sqref="A44"/>
    </sheetView>
  </sheetViews>
  <sheetFormatPr defaultRowHeight="14.5" x14ac:dyDescent="0.35"/>
  <cols>
    <col min="1" max="1" width="34.453125" bestFit="1" customWidth="1"/>
    <col min="2" max="2" width="12.26953125" bestFit="1" customWidth="1"/>
    <col min="3" max="3" width="10.453125" bestFit="1" customWidth="1"/>
    <col min="4" max="4" width="13.26953125" bestFit="1" customWidth="1"/>
    <col min="5" max="5" width="8" bestFit="1" customWidth="1"/>
    <col min="6" max="6" width="12.81640625" bestFit="1" customWidth="1"/>
    <col min="7" max="7" width="7.453125" bestFit="1" customWidth="1"/>
    <col min="8" max="8" width="14.1796875" bestFit="1" customWidth="1"/>
    <col min="9" max="9" width="7.81640625" bestFit="1" customWidth="1"/>
    <col min="10" max="10" width="10.81640625" bestFit="1" customWidth="1"/>
    <col min="11" max="11" width="7.90625" bestFit="1" customWidth="1"/>
    <col min="13" max="13" width="12.26953125" bestFit="1" customWidth="1"/>
    <col min="14" max="14" width="10.453125" bestFit="1" customWidth="1"/>
    <col min="15" max="15" width="13.26953125" bestFit="1" customWidth="1"/>
    <col min="16" max="16" width="8" bestFit="1" customWidth="1"/>
    <col min="17" max="17" width="12.81640625" bestFit="1" customWidth="1"/>
    <col min="18" max="18" width="7.453125" bestFit="1" customWidth="1"/>
    <col min="19" max="19" width="14.1796875" bestFit="1" customWidth="1"/>
    <col min="20" max="20" width="7.81640625" bestFit="1" customWidth="1"/>
    <col min="21" max="21" width="10.81640625" bestFit="1" customWidth="1"/>
    <col min="22" max="22" width="7.90625" bestFit="1" customWidth="1"/>
    <col min="24" max="24" width="12.26953125" bestFit="1" customWidth="1"/>
    <col min="25" max="25" width="10.453125" bestFit="1" customWidth="1"/>
    <col min="26" max="26" width="13.26953125" bestFit="1" customWidth="1"/>
    <col min="27" max="27" width="8" bestFit="1" customWidth="1"/>
    <col min="28" max="28" width="12.81640625" bestFit="1" customWidth="1"/>
    <col min="29" max="29" width="7.453125" bestFit="1" customWidth="1"/>
    <col min="30" max="30" width="14.1796875" bestFit="1" customWidth="1"/>
    <col min="31" max="31" width="7.81640625" bestFit="1" customWidth="1"/>
    <col min="32" max="32" width="10.81640625" bestFit="1" customWidth="1"/>
    <col min="33" max="33" width="7.90625" bestFit="1" customWidth="1"/>
  </cols>
  <sheetData>
    <row r="1" spans="1:33" x14ac:dyDescent="0.35">
      <c r="A1" t="s">
        <v>86</v>
      </c>
      <c r="B1" t="s">
        <v>54</v>
      </c>
      <c r="C1" t="s">
        <v>55</v>
      </c>
      <c r="D1" t="s">
        <v>56</v>
      </c>
      <c r="E1" t="s">
        <v>57</v>
      </c>
      <c r="F1" t="s">
        <v>41</v>
      </c>
      <c r="G1" t="s">
        <v>58</v>
      </c>
      <c r="H1" t="s">
        <v>59</v>
      </c>
      <c r="I1" t="s">
        <v>50</v>
      </c>
      <c r="J1" t="s">
        <v>60</v>
      </c>
      <c r="K1" t="s">
        <v>10</v>
      </c>
      <c r="L1" t="s">
        <v>87</v>
      </c>
      <c r="M1" t="s">
        <v>54</v>
      </c>
      <c r="N1" t="s">
        <v>55</v>
      </c>
      <c r="O1" t="s">
        <v>56</v>
      </c>
      <c r="P1" t="s">
        <v>57</v>
      </c>
      <c r="Q1" t="s">
        <v>41</v>
      </c>
      <c r="R1" t="s">
        <v>58</v>
      </c>
      <c r="S1" t="s">
        <v>59</v>
      </c>
      <c r="T1" t="s">
        <v>50</v>
      </c>
      <c r="U1" t="s">
        <v>60</v>
      </c>
      <c r="V1" t="s">
        <v>10</v>
      </c>
      <c r="W1" t="s">
        <v>88</v>
      </c>
      <c r="X1" t="s">
        <v>54</v>
      </c>
      <c r="Y1" t="s">
        <v>55</v>
      </c>
      <c r="Z1" t="s">
        <v>56</v>
      </c>
      <c r="AA1" t="s">
        <v>57</v>
      </c>
      <c r="AB1" t="s">
        <v>41</v>
      </c>
      <c r="AC1" t="s">
        <v>58</v>
      </c>
      <c r="AD1" t="s">
        <v>59</v>
      </c>
      <c r="AE1" t="s">
        <v>50</v>
      </c>
      <c r="AF1" t="s">
        <v>60</v>
      </c>
      <c r="AG1" t="s">
        <v>10</v>
      </c>
    </row>
    <row r="43" spans="1:11" x14ac:dyDescent="0.35">
      <c r="A43" t="s">
        <v>89</v>
      </c>
      <c r="B43" t="s">
        <v>54</v>
      </c>
      <c r="C43" t="s">
        <v>55</v>
      </c>
      <c r="D43" t="s">
        <v>56</v>
      </c>
      <c r="E43" t="s">
        <v>57</v>
      </c>
      <c r="F43" t="s">
        <v>41</v>
      </c>
      <c r="G43" t="s">
        <v>58</v>
      </c>
      <c r="H43" t="s">
        <v>59</v>
      </c>
      <c r="I43" t="s">
        <v>50</v>
      </c>
      <c r="J43" t="s">
        <v>60</v>
      </c>
      <c r="K43" t="s">
        <v>10</v>
      </c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808EFC-27B0-4A82-89B7-7CAC88D47F9A}">
  <dimension ref="A1:K2"/>
  <sheetViews>
    <sheetView workbookViewId="0">
      <selection activeCell="C3" sqref="C3"/>
    </sheetView>
  </sheetViews>
  <sheetFormatPr defaultRowHeight="14.5" x14ac:dyDescent="0.35"/>
  <cols>
    <col min="1" max="1" width="8.81640625" customWidth="1"/>
    <col min="2" max="2" width="11.90625" customWidth="1"/>
    <col min="8" max="8" width="13.08984375" customWidth="1"/>
    <col min="9" max="9" width="8.81640625" customWidth="1"/>
    <col min="10" max="10" width="10" customWidth="1"/>
  </cols>
  <sheetData>
    <row r="1" spans="1:11" x14ac:dyDescent="0.35">
      <c r="A1" t="s">
        <v>61</v>
      </c>
      <c r="B1" t="s">
        <v>62</v>
      </c>
      <c r="C1" t="s">
        <v>0</v>
      </c>
      <c r="D1" t="s">
        <v>63</v>
      </c>
      <c r="E1" t="s">
        <v>24</v>
      </c>
      <c r="F1" t="s">
        <v>64</v>
      </c>
      <c r="G1" t="s">
        <v>27</v>
      </c>
      <c r="H1" t="s">
        <v>65</v>
      </c>
      <c r="I1" t="s">
        <v>12</v>
      </c>
      <c r="J1" t="s">
        <v>46</v>
      </c>
      <c r="K1" t="s">
        <v>10</v>
      </c>
    </row>
    <row r="2" spans="1:11" x14ac:dyDescent="0.35">
      <c r="C2" t="s">
        <v>90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14161B-9BC7-4DDD-A94D-20A2E8BAF90A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Room Balance</vt:lpstr>
      <vt:lpstr>Enemy Balance</vt:lpstr>
      <vt:lpstr>Weapon Balance</vt:lpstr>
      <vt:lpstr>Debuff Pool</vt:lpstr>
      <vt:lpstr>Reward Pool</vt:lpstr>
      <vt:lpstr>Meta Progression</vt:lpstr>
      <vt:lpstr>Boss Balance</vt:lpstr>
      <vt:lpstr>Run Economy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 Kelly</dc:creator>
  <cp:lastModifiedBy>Jack Kelly</cp:lastModifiedBy>
  <dcterms:created xsi:type="dcterms:W3CDTF">2026-08-19T17:21:13Z</dcterms:created>
  <dcterms:modified xsi:type="dcterms:W3CDTF">2026-09-16T20:50:26Z</dcterms:modified>
</cp:coreProperties>
</file>