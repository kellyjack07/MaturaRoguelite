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58e6b991fee7f4/Desktop/Schule/Maturarbeit/Godot/matura-roguelite/docs/"/>
    </mc:Choice>
  </mc:AlternateContent>
  <xr:revisionPtr revIDLastSave="652" documentId="8_{1C25F502-3DF3-4C0E-A964-DFE0638285DE}" xr6:coauthVersionLast="47" xr6:coauthVersionMax="47" xr10:uidLastSave="{9A209D46-F19E-44E5-A108-73993082925F}"/>
  <bookViews>
    <workbookView xWindow="-110" yWindow="-110" windowWidth="19420" windowHeight="11500" activeTab="3" xr2:uid="{5B9A7CE5-9E71-472F-BCC2-975C4625B76B}"/>
  </bookViews>
  <sheets>
    <sheet name="Room Balance" sheetId="1" r:id="rId1"/>
    <sheet name="Enemy Balance" sheetId="2" r:id="rId2"/>
    <sheet name="Weapon Balance" sheetId="3" r:id="rId3"/>
    <sheet name="Debuff Pool" sheetId="4" r:id="rId4"/>
    <sheet name="Reward Pool" sheetId="5" r:id="rId5"/>
    <sheet name="Meta Progression" sheetId="6" r:id="rId6"/>
    <sheet name="Boss Balance" sheetId="9" r:id="rId7"/>
    <sheet name="Run Economy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<sst xmlns="http://schemas.openxmlformats.org/spreadsheetml/2006/main" count="218" uniqueCount="115">
  <si>
    <t>Stage</t>
  </si>
  <si>
    <t>Floor</t>
  </si>
  <si>
    <t>Room Type</t>
  </si>
  <si>
    <t>Waves</t>
  </si>
  <si>
    <t>Min Enemies</t>
  </si>
  <si>
    <t>Min count</t>
  </si>
  <si>
    <t>Max count</t>
  </si>
  <si>
    <t>Max Enemies</t>
  </si>
  <si>
    <t>Gold Reward</t>
  </si>
  <si>
    <t>Heal Value</t>
  </si>
  <si>
    <t>Notes</t>
  </si>
  <si>
    <t>Combat</t>
  </si>
  <si>
    <t>Reward</t>
  </si>
  <si>
    <t>Rest</t>
  </si>
  <si>
    <t>Boss</t>
  </si>
  <si>
    <t>Enemies not counting boss</t>
  </si>
  <si>
    <t>Choice between Gold, buying health, stat boost - cheapest</t>
  </si>
  <si>
    <t>Free gold or buying other things - most expensive</t>
  </si>
  <si>
    <t>not including boss</t>
  </si>
  <si>
    <t>Unlock ability to buy second weapon</t>
  </si>
  <si>
    <t>Unlock ability to buy third weapon</t>
  </si>
  <si>
    <t>Enemy ID</t>
  </si>
  <si>
    <t>Enemy Name</t>
  </si>
  <si>
    <t>Stage Availability</t>
  </si>
  <si>
    <t>HP</t>
  </si>
  <si>
    <t>Melee Dmg</t>
  </si>
  <si>
    <t>Range Dmg</t>
  </si>
  <si>
    <t>Speed</t>
  </si>
  <si>
    <t>Melee Range</t>
  </si>
  <si>
    <t>Cooldown</t>
  </si>
  <si>
    <t>Knockback</t>
  </si>
  <si>
    <t>Weight</t>
  </si>
  <si>
    <t>Weapon ID</t>
  </si>
  <si>
    <t>Weapon Name</t>
  </si>
  <si>
    <t>Base Dmg</t>
  </si>
  <si>
    <t>Atk Speed</t>
  </si>
  <si>
    <t>Range</t>
  </si>
  <si>
    <t>Special name</t>
  </si>
  <si>
    <t>Special dmg</t>
  </si>
  <si>
    <t>Special Cooldown</t>
  </si>
  <si>
    <t>Scaling stat</t>
  </si>
  <si>
    <t>Debuff ID</t>
  </si>
  <si>
    <t>Debuff Name</t>
  </si>
  <si>
    <t>Description</t>
  </si>
  <si>
    <t>Stage min</t>
  </si>
  <si>
    <t>Stage max</t>
  </si>
  <si>
    <t xml:space="preserve">Debuff % </t>
  </si>
  <si>
    <t xml:space="preserve">Enemy Buff % </t>
  </si>
  <si>
    <t>Difficulty</t>
  </si>
  <si>
    <t>Reward ID</t>
  </si>
  <si>
    <t>Reward Name</t>
  </si>
  <si>
    <t>Type</t>
  </si>
  <si>
    <t>Value</t>
  </si>
  <si>
    <t>Cost Gold</t>
  </si>
  <si>
    <t>Stage multip</t>
  </si>
  <si>
    <t>Rarity</t>
  </si>
  <si>
    <t>Upgrade ID</t>
  </si>
  <si>
    <t>Category</t>
  </si>
  <si>
    <t>Prerequisite</t>
  </si>
  <si>
    <t>Name</t>
  </si>
  <si>
    <t>Level</t>
  </si>
  <si>
    <t>Cost Essence</t>
  </si>
  <si>
    <t>Max level</t>
  </si>
  <si>
    <t>Boss ID</t>
  </si>
  <si>
    <t>Boss Name</t>
  </si>
  <si>
    <t>level</t>
  </si>
  <si>
    <t>Dmg</t>
  </si>
  <si>
    <t>Phase Count</t>
  </si>
  <si>
    <t>Slowness I</t>
  </si>
  <si>
    <t>Player base speed gets slowed</t>
  </si>
  <si>
    <t>Player base dmg reduction</t>
  </si>
  <si>
    <t>Damage reduction I</t>
  </si>
  <si>
    <t>Health boost I</t>
  </si>
  <si>
    <t>More enemies</t>
  </si>
  <si>
    <t>Enemies get HP boost</t>
  </si>
  <si>
    <t>Stage 2</t>
  </si>
  <si>
    <t>Stage 3</t>
  </si>
  <si>
    <t>Stage 1</t>
  </si>
  <si>
    <t>Weapon restriction</t>
  </si>
  <si>
    <t>Player can't use current weapon</t>
  </si>
  <si>
    <t xml:space="preserve">Stage 3 </t>
  </si>
  <si>
    <t>Only possible if enemy has more than 1 weapon unlocked</t>
  </si>
  <si>
    <t>Projectile speed boost</t>
  </si>
  <si>
    <t>Enemy projectile speed gets buffed</t>
  </si>
  <si>
    <t>Stage3</t>
  </si>
  <si>
    <t>Only possible if one enemy type is ranged</t>
  </si>
  <si>
    <t>Enemies melee range gets buffed</t>
  </si>
  <si>
    <t>Enemy range boost I</t>
  </si>
  <si>
    <t xml:space="preserve">Restricted vision I </t>
  </si>
  <si>
    <t>Player can't see outside of circle</t>
  </si>
  <si>
    <t xml:space="preserve">Damage tick I </t>
  </si>
  <si>
    <t xml:space="preserve">Player takes constant damage </t>
  </si>
  <si>
    <t xml:space="preserve">Enemy heal I </t>
  </si>
  <si>
    <t>Enemy constantly heals</t>
  </si>
  <si>
    <t xml:space="preserve">Stage 1 </t>
  </si>
  <si>
    <t>Gold</t>
  </si>
  <si>
    <t>Amount of gold depending on current stage and room</t>
  </si>
  <si>
    <t>1,2,3</t>
  </si>
  <si>
    <t xml:space="preserve">Damage boost </t>
  </si>
  <si>
    <t>Buff</t>
  </si>
  <si>
    <t>Player damage boost</t>
  </si>
  <si>
    <t>1, 1.4, 1.7</t>
  </si>
  <si>
    <t>Heal potion</t>
  </si>
  <si>
    <t>Player gets saveable heal potion for current run</t>
  </si>
  <si>
    <t>Heal</t>
  </si>
  <si>
    <t>1. 1.4, 1.7</t>
  </si>
  <si>
    <t>Sword</t>
  </si>
  <si>
    <t>Spear</t>
  </si>
  <si>
    <t>Hammer</t>
  </si>
  <si>
    <t>Base stat upgrades (get added together)</t>
  </si>
  <si>
    <t>S1-L1</t>
  </si>
  <si>
    <t>Training Dummy 2</t>
  </si>
  <si>
    <t>1,1</t>
  </si>
  <si>
    <t>Enemy Difficulty</t>
  </si>
  <si>
    <t>training_dummy_2</t>
  </si>
</sst>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umFmts count="3">
    <numFmt numFmtId="164" formatCode="0"/>
    <numFmt numFmtId="165" formatCode="0.00"/>
    <numFmt numFmtId="166" formatCode="0%"/>
  </numFmts>
  <fonts count="2" ns2:knownFonts="1">
    <font>
      <sz val="11"/>
      <color theme="1"/>
      <name val="Aptos Narrow"/>
      <family val="2"/>
      <scheme val="minor"/>
    </font>
    <font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1" fillId="2" borderId="1"/>
  </cellStyleXfs>
  <cellXfs count="23">
    <xf numFmtId="0" fontId="0" fillId="0" borderId="0" xfId="0"/>
    <xf numFmtId="9" fontId="0" fillId="0" borderId="0" xfId="0" applyNumberFormat="1"/>
    <xf numFmtId="0" fontId="0" fillId="0" borderId="0" xfId="0" applyProtection="1">
      <protection locked="0"/>
    </xf>
    <xf numFmtId="16" fontId="0" fillId="0" borderId="0" xfId="0" applyNumberFormat="1"/>
    <xf numFmtId="1" fontId="0" fillId="0" borderId="0" xfId="0" applyNumberFormat="1"/>
    <xf numFmtId="0" fontId="1" fillId="2" borderId="1" xfId="1"/>
    <xf numFmtId="9" fontId="1" fillId="2" borderId="1" xfId="1" applyNumberFormat="1"/>
    <xf numFmtId="0" fontId="1" fillId="2" borderId="1" xfId="1"/>
    <xf numFmtId="16" fontId="1" fillId="2" borderId="1" xfId="1" applyNumberFormat="1"/>
    <xf numFmtId="1" fontId="1" fillId="2" borderId="1" xfId="1" applyNumberFormat="1"/>
    <xf numFmtId="164" fontId="1" fillId="2" borderId="1" xfId="1" applyNumberFormat="1" applyFont="1" applyFill="1" applyBorder="1"/>
    <xf numFmtId="165" fontId="1" fillId="2" borderId="1" xfId="1" applyNumberFormat="1" applyFont="1" applyFill="1" applyBorder="1"/>
    <xf numFmtId="0" fontId="1" fillId="2" borderId="1" xfId="1" applyNumberFormat="1" applyFont="1" applyFill="1" applyBorder="1" applyAlignment="1">
      <alignment wrapText="1"/>
    </xf>
    <xf numFmtId="1" fontId="1" fillId="2" borderId="1" xfId="1" applyNumberFormat="1" applyFont="1" applyFill="1" applyBorder="1" applyAlignment="1">
      <alignment wrapText="1"/>
    </xf>
    <xf numFmtId="164" fontId="1" fillId="2" borderId="1" xfId="1" applyNumberFormat="1" applyFont="1" applyFill="1" applyBorder="1" applyAlignment="1">
      <alignment wrapText="1"/>
    </xf>
    <xf numFmtId="165" fontId="1" fillId="2" borderId="1" xfId="1" applyNumberFormat="1" applyFont="1" applyFill="1" applyBorder="1" applyAlignment="1">
      <alignment wrapText="1"/>
    </xf>
    <xf numFmtId="0" fontId="1" fillId="2" borderId="1" xfId="1" applyNumberFormat="1" applyFont="1" applyFill="1" applyBorder="1" applyAlignment="1">
      <alignment vertical="center" wrapText="1"/>
    </xf>
    <xf numFmtId="1" fontId="1" fillId="2" borderId="1" xfId="1" applyNumberFormat="1" applyFont="1" applyFill="1" applyBorder="1" applyAlignment="1">
      <alignment vertical="center" wrapText="1"/>
    </xf>
    <xf numFmtId="164" fontId="1" fillId="2" borderId="1" xfId="1" applyNumberFormat="1" applyFont="1" applyFill="1" applyBorder="1" applyAlignment="1">
      <alignment vertical="center" wrapText="1"/>
    </xf>
    <xf numFmtId="165" fontId="1" fillId="2" borderId="1" xfId="1" applyNumberFormat="1" applyFont="1" applyFill="1" applyBorder="1" applyAlignment="1">
      <alignment vertical="center" wrapText="1"/>
    </xf>
    <xf numFmtId="166" fontId="1" fillId="2" borderId="1" xfId="1" applyNumberFormat="1" applyFont="1" applyFill="1" applyBorder="1"/>
    <xf numFmtId="166" fontId="1" fillId="2" borderId="1" xfId="1" applyNumberFormat="1" applyFont="1" applyFill="1" applyBorder="1" applyAlignment="1">
      <alignment wrapText="1"/>
    </xf>
    <xf numFmtId="166" fontId="1" fillId="2" borderId="1" xfId="1" applyNumberFormat="1" applyFont="1" applyFill="1" applyBorder="1" applyAlignment="1">
      <alignment vertical="center" wrapText="1"/>
    </xf>
  </cellXfs>
  <cellStyles count="1">
    <cellStyle name="Normal" xfId="0" builtinId="0"/>
  </cellStyles>
  <dxfs count="1">
    <dxf>
      <protection locked="0" hidden="0"/>
    </dxf>
  </dxfs>
  <tableStyles count="0" defaultTableStyle="TableStyleMedium2" defaultPivotStyle="PivotStyleLight16"/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CB6469-E74F-4269-A346-50BFACE0657B}" name="Table2" displayName="Table2" ref="A1:K37" totalsRowShown="0" headerRowDxfId="0">
  <autoFilter ref="A1:K37" xr:uid="{57CB6469-E74F-4269-A346-50BFACE0657B}"/>
  <tableColumns count="11">
    <tableColumn id="1" xr3:uid="{01D57AB7-F17B-482F-8E6E-5C45BD970849}" name="Stage"/>
    <tableColumn id="2" xr3:uid="{17C3AFA3-7B12-47BC-A830-E50E6526EC9F}" name="Floor"/>
    <tableColumn id="3" xr3:uid="{DB6B8C3B-DB38-4B36-BC5E-8DCBA6148EC5}" name="Room Type"/>
    <tableColumn id="4" xr3:uid="{447A6B86-C276-49FC-9888-3FECAA4D88F6}" name="Min count"/>
    <tableColumn id="5" xr3:uid="{1B8E1463-44B6-491A-A772-AE8171A9C5B1}" name="Max count"/>
    <tableColumn id="6" xr3:uid="{32BC17CD-08C8-4D23-A227-AB3D1F7EE717}" name="Waves"/>
    <tableColumn id="7" xr3:uid="{1C7402B6-819D-4DE7-9FFC-BD3AD8C8FBD8}" name="Min Enemies"/>
    <tableColumn id="8" xr3:uid="{5A93B6C2-DEBC-426F-B3E9-DD5F59736C05}" name="Max Enemies"/>
    <tableColumn id="9" xr3:uid="{607E0982-246D-49CA-97C6-F36759AEF197}" name="Gold Reward"/>
    <tableColumn id="10" xr3:uid="{23B7F453-73A1-4C59-8C2B-09A0AC4415E7}" name="Heal Value"/>
    <tableColumn id="11" xr3:uid="{A51E7312-10FF-41C0-8111-4491E1BEC036}" name="Note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ns1="http://schemas.openxmlformats.org/markup-compatibility/2006" xmlns:ns2="http://schemas.microsoft.com/office/spreadsheetml/2014/revision" ns1:Ignorable="xr xr3" id="4" ns2:uid="{70DFE4FB-C52E-4503-98FE-26910E3BE33A}" name="Table4" displayName="Table4" ref="A1:M22" totalsRowShown="0">
  <autoFilter ref="A1:M22" ns2:uid="{70DFE4FB-C52E-4503-98FE-26910E3BE33A}"/>
  <tableColumns count="13">
    <tableColumn id="1" name="Enemy ID"/>
    <tableColumn id="2" name="Enemy Name"/>
    <tableColumn id="3" name="Stage Availability"/>
    <tableColumn id="4" name="Enemy Difficulty"/>
    <tableColumn id="5" name="HP"/>
    <tableColumn id="6" name="Melee Dmg"/>
    <tableColumn id="7" name="Range Dmg"/>
    <tableColumn id="8" name="Speed (px/s)"/>
    <tableColumn id="9" name="Hit radius (px)"/>
    <tableColumn id="10" name="Recovery (s)"/>
    <tableColumn id="11" name="Hit knockback (px/s)"/>
    <tableColumn id="12" name="Weight"/>
    <tableColumn id="13" name="Note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A5BECD-C6BF-4E5D-BC0A-A45DD0ED61E6}" name="Table5" displayName="Table5" ref="A1:K5" totalsRowShown="0">
  <autoFilter ref="A1:K5" xr:uid="{38A5BECD-C6BF-4E5D-BC0A-A45DD0ED61E6}"/>
  <tableColumns count="11">
    <tableColumn id="1" xr3:uid="{006DD6B6-F9AD-44A8-BF1C-8D212C35DE05}" name="Weapon ID"/>
    <tableColumn id="2" xr3:uid="{5CFF9DC7-0FA1-4AE2-A400-E020239B51DA}" name="Weapon Name"/>
    <tableColumn id="3" xr3:uid="{1A57C229-2B64-47D3-9A06-B098B581ED2D}" name="Base Dmg"/>
    <tableColumn id="4" xr3:uid="{5608B81B-C8CC-4AD4-A13C-6B249BE28D6E}" name="Atk Speed"/>
    <tableColumn id="5" xr3:uid="{0704A01C-B921-4301-B493-A9C326582B0D}" name="Range"/>
    <tableColumn id="6" xr3:uid="{41BEE5FF-7237-4E13-8E13-D004F4E8752C}" name="Knockback"/>
    <tableColumn id="7" xr3:uid="{6E47094F-28C4-414D-B227-6CD81B01DBD7}" name="Special name"/>
    <tableColumn id="8" xr3:uid="{D2E085E9-A0F5-4486-B217-C45711A7146D}" name="Special dmg"/>
    <tableColumn id="9" xr3:uid="{24E8D649-2BB8-4061-98CC-471409378B7C}" name="Special Cooldown"/>
    <tableColumn id="10" xr3:uid="{07BED9DE-741E-452F-B1C6-9160B3542553}" name="Scaling stat"/>
    <tableColumn id="11" xr3:uid="{F7C2943C-F165-4D0C-BFC7-407316009FF0}" name="Notes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ns1="http://schemas.openxmlformats.org/markup-compatibility/2006" xmlns:ns2="http://schemas.microsoft.com/office/spreadsheetml/2014/revision" ns1:Ignorable="xr xr3" id="6" ns2:uid="{FB702AD7-4EAB-42E3-ABD7-1C4FD4B9D169}" name="Table6" displayName="Table6" ref="A1:L15" totalsRowShown="0">
  <autoFilter ref="A1:L15" ns2:uid="{FB702AD7-4EAB-42E3-ABD7-1C4FD4B9D169}"/>
  <sortState ref="A2:J11">
    <sortCondition ref="F1:F20"/>
  </sortState>
  <tableColumns count="12">
    <tableColumn id="1" name="Debuff ID"/>
    <tableColumn id="2" name="Debuff Name"/>
    <tableColumn id="3" name="Description"/>
    <tableColumn id="4" name="Stage min"/>
    <tableColumn id="5" name="Stage max"/>
    <tableColumn id="6" name="Debuff % "/>
    <tableColumn id="7" name="Enemy Buff % "/>
    <tableColumn id="8" name="Difficulty tier"/>
    <tableColumn id="9" name="Weight"/>
    <tableColumn id="10" name="Notes"/>
    <tableColumn id="11" name="Room-clear essence"/>
    <tableColumn id="12" name="Statu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7C6831A-2E29-42A6-8A25-70BD6098A266}" name="Table7" displayName="Table7" ref="A1:L20" totalsRowShown="0">
  <autoFilter ref="A1:L20" xr:uid="{97C6831A-2E29-42A6-8A25-70BD6098A266}"/>
  <tableColumns count="12">
    <tableColumn id="1" xr3:uid="{B1312DD5-F1FD-4E1C-95A8-3BFA488C7390}" name="Reward ID"/>
    <tableColumn id="2" xr3:uid="{926A2828-2913-42E6-BE2B-F9A42AF661E0}" name="Reward Name"/>
    <tableColumn id="3" xr3:uid="{27F0883F-6E95-4AFE-A985-497549989BC3}" name="Description"/>
    <tableColumn id="4" xr3:uid="{766E2936-6512-49FE-9613-97E5D4872881}" name="Type"/>
    <tableColumn id="5" xr3:uid="{07D1C393-0A77-47E5-82EA-48E11F8E7CB3}" name="Value"/>
    <tableColumn id="6" xr3:uid="{04484E49-B7CA-4A5B-A093-DC2F94D905BD}" name="Cost Gold"/>
    <tableColumn id="7" xr3:uid="{28AD7771-4E38-4F53-AB3E-9E0973194AD5}" name="Stage multip"/>
    <tableColumn id="8" xr3:uid="{BCA8F7E3-6FFB-42B1-87F5-9EAD922B2141}" name="Rarity"/>
    <tableColumn id="9" xr3:uid="{35953E42-296E-49DA-9AF8-3EA364ECD125}" name="Weight"/>
    <tableColumn id="10" xr3:uid="{55A84C14-A10E-4C58-A720-C029D5C1B609}" name="Stage min"/>
    <tableColumn id="11" xr3:uid="{FB9A9104-EE1A-4CF0-BD58-C97CE40A5D85}" name="Stage max"/>
    <tableColumn id="12" xr3:uid="{C430CA93-4A54-4ED5-A1FE-334C54AD213E}" name="Notes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9B95343-379E-45CB-87FA-4D57E1EA47FA}" name="Table8" displayName="Table8" ref="B1:K40" totalsRowShown="0">
  <autoFilter ref="B1:K40" xr:uid="{09B95343-379E-45CB-87FA-4D57E1EA47FA}"/>
  <tableColumns count="10">
    <tableColumn id="1" xr3:uid="{4B34C223-087A-4AB6-95A4-FF20EED7D8FA}" name="Upgrade ID"/>
    <tableColumn id="3" xr3:uid="{341D9894-03B9-4A7C-80D6-99A5D872B716}" name="Category"/>
    <tableColumn id="4" xr3:uid="{65FC88F4-49F3-422C-B15C-0BC27996031E}" name="Prerequisite"/>
    <tableColumn id="5" xr3:uid="{720AF811-9467-4694-B32D-EF53233739CF}" name="Name"/>
    <tableColumn id="6" xr3:uid="{F6D8C664-86F0-4146-BC3C-979760488CF3}" name="Description"/>
    <tableColumn id="7" xr3:uid="{F4A6F7B2-30FC-44F4-9C75-0D95EC4136A6}" name="Level"/>
    <tableColumn id="8" xr3:uid="{683BEA9F-A36F-4614-8B6A-EE9FEA5D75A6}" name="Cost Essence"/>
    <tableColumn id="9" xr3:uid="{5BACBE56-F5F3-45BE-BB6E-BAAEA59CC117}" name="Value"/>
    <tableColumn id="10" xr3:uid="{E847D972-6C82-47D5-9BB4-8B5D277C79F1}" name="Max level"/>
    <tableColumn id="11" xr3:uid="{C2FEC30E-AFC6-4B59-85B4-B27BA27190E1}" name="Notes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5DDFD4-CFA0-4D7F-840A-1839E9FDDD7C}" name="Table82" displayName="Table82" ref="M1:V40" totalsRowShown="0">
  <autoFilter ref="M1:V40" xr:uid="{675DDFD4-CFA0-4D7F-840A-1839E9FDDD7C}"/>
  <tableColumns count="10">
    <tableColumn id="1" xr3:uid="{3CF00411-901D-4FF4-B051-5224F0F9D7B1}" name="Upgrade ID"/>
    <tableColumn id="3" xr3:uid="{727AD8EC-AF84-4E35-8BB8-7450DEA98D04}" name="Category"/>
    <tableColumn id="4" xr3:uid="{B1199455-295E-4A66-AE71-35AFF040E2B2}" name="Prerequisite"/>
    <tableColumn id="5" xr3:uid="{10961C07-A07B-4AB4-8A2E-96AD207AB6EB}" name="Name"/>
    <tableColumn id="6" xr3:uid="{8DDC1306-4D10-4AE0-A0A9-6DC6BF265C86}" name="Description"/>
    <tableColumn id="7" xr3:uid="{849DB66D-19CE-4D3B-8325-4C3F934F07A6}" name="Level"/>
    <tableColumn id="8" xr3:uid="{19D1704E-8147-4751-9399-FF7D3232C7BF}" name="Cost Essence"/>
    <tableColumn id="9" xr3:uid="{230911DC-9973-472A-9AA9-5B68A0B2D1D1}" name="Value"/>
    <tableColumn id="10" xr3:uid="{7F4336EF-630C-4471-9650-54DD1F74A7A7}" name="Max level"/>
    <tableColumn id="11" xr3:uid="{5CD51F5B-474B-4E17-92F8-B977CC4D2874}" name="Notes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7A68AC-33D5-423B-AE0C-F771B667101B}" name="Table84" displayName="Table84" ref="X1:AG40" totalsRowShown="0">
  <autoFilter ref="X1:AG40" xr:uid="{477A68AC-33D5-423B-AE0C-F771B667101B}"/>
  <tableColumns count="10">
    <tableColumn id="1" xr3:uid="{2E5FD2DE-3E7D-496D-BD4C-6EE31DDC3489}" name="Upgrade ID"/>
    <tableColumn id="3" xr3:uid="{6B33E9A0-17BF-484F-A993-95C16D72C20C}" name="Category"/>
    <tableColumn id="4" xr3:uid="{D35499AB-6D4C-4C60-ABEE-310D30CE70A9}" name="Prerequisite"/>
    <tableColumn id="5" xr3:uid="{A0710BBD-8105-419E-86C9-99C12BED167E}" name="Name"/>
    <tableColumn id="6" xr3:uid="{DE40F8B0-D495-4648-BAFC-84B49A182197}" name="Description"/>
    <tableColumn id="7" xr3:uid="{9FE5C44F-E20D-4E55-9BCA-7C03A1E2F71F}" name="Level"/>
    <tableColumn id="8" xr3:uid="{D3897422-6929-44D8-A3BF-FAAC75E3320B}" name="Cost Essence"/>
    <tableColumn id="9" xr3:uid="{22D66740-771F-4AED-9EC6-6BBBD149A55A}" name="Value"/>
    <tableColumn id="10" xr3:uid="{87A28EB7-6C5B-4B9A-86BF-DC332CE59A23}" name="Max level"/>
    <tableColumn id="11" xr3:uid="{DF5A9412-A1C1-46C6-8609-0775BE28AFEB}" name="Notes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97E85E8-3A10-47CB-A002-AB3F816A6185}" name="Table811" displayName="Table811" ref="B43:K82" totalsRowShown="0">
  <autoFilter ref="B43:K82" xr:uid="{F97E85E8-3A10-47CB-A002-AB3F816A6185}"/>
  <tableColumns count="10">
    <tableColumn id="1" xr3:uid="{8DCDA9CE-B1B7-4BDC-B161-1F86A024DAD8}" name="Upgrade ID"/>
    <tableColumn id="3" xr3:uid="{4DB6A0E5-521E-4C28-90ED-B484234B7F77}" name="Category"/>
    <tableColumn id="4" xr3:uid="{C81564A6-87A6-4F6A-A872-63E4026CC2CE}" name="Prerequisite"/>
    <tableColumn id="5" xr3:uid="{8FA48441-6D71-40F7-ACB3-0208BCB7F90B}" name="Name"/>
    <tableColumn id="6" xr3:uid="{3F469FAF-2763-48EB-92D9-C6996B9FA65A}" name="Description"/>
    <tableColumn id="7" xr3:uid="{24CDDDDF-FB17-4E02-AE99-8BD36D0360F5}" name="Level"/>
    <tableColumn id="8" xr3:uid="{F36EB2F4-88C5-49F0-BF52-01565DE91661}" name="Cost Essence"/>
    <tableColumn id="9" xr3:uid="{1C23D897-7968-4272-AD3D-66DE55997953}" name="Value"/>
    <tableColumn id="10" xr3:uid="{177F77B1-38BA-43D9-AD49-FC50C783F832}" name="Max level"/>
    <tableColumn id="11" xr3:uid="{89E86CD8-FEF7-4CB2-AE32-3F107D5775E5}" name="Notes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CBD4866-A92B-4770-A91E-B5B720919FF8}" name="Table9" displayName="Table9" ref="A1:K10" totalsRowShown="0">
  <autoFilter ref="A1:K10" xr:uid="{ACBD4866-A92B-4770-A91E-B5B720919FF8}"/>
  <tableColumns count="11">
    <tableColumn id="1" xr3:uid="{CF586B0F-323E-474C-A0F3-A27DCF2DF1B3}" name="Boss ID"/>
    <tableColumn id="2" xr3:uid="{6BE35051-1175-45E6-A7C3-D9B0182B03E7}" name="Boss Name"/>
    <tableColumn id="3" xr3:uid="{93F8C641-B886-4BB3-A9DB-585E0E87CDD0}" name="Stage"/>
    <tableColumn id="4" xr3:uid="{C2392D44-5DD3-4E18-A3B0-4DC4E024FF0C}" name="level"/>
    <tableColumn id="5" xr3:uid="{72E1F6E9-1943-416B-BEDC-7243D9269FFA}" name="HP"/>
    <tableColumn id="6" xr3:uid="{8B75DDB4-A703-4C36-94B3-60BB614F2EBC}" name="Dmg"/>
    <tableColumn id="7" xr3:uid="{701A0C00-693D-4801-829C-E24928F13E4D}" name="Speed"/>
    <tableColumn id="8" xr3:uid="{DB1CDBD6-095F-4537-B666-778BB2FE22F7}" name="Phase Count"/>
    <tableColumn id="9" xr3:uid="{284858F3-3C6A-4B73-A7FB-F435EDF2C296}" name="Reward"/>
    <tableColumn id="10" xr3:uid="{835ED2F7-C0E4-4B43-8F19-0FE90E453889}" name="Difficulty"/>
    <tableColumn id="11" xr3:uid="{32163468-0A27-4655-AB3D-89ADC2C0D450}" name="Not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4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FCAC7-807F-4D2F-90B6-B8642C53B2DE}">
  <dimension ref="A1:K37"/>
  <sheetViews>
    <sheetView zoomScaleNormal="100" workbookViewId="0">
      <selection activeCell="S30" sqref="S30"/>
    </sheetView>
  </sheetViews>
  <sheetFormatPr defaultRowHeight="14.5" x14ac:dyDescent="0.35"/>
  <cols>
    <col min="3" max="3" width="11.36328125" customWidth="1"/>
    <col min="4" max="4" width="10.54296875" customWidth="1"/>
    <col min="5" max="5" width="10.81640625" customWidth="1"/>
    <col min="7" max="7" width="12.81640625" customWidth="1"/>
    <col min="8" max="8" width="13.1796875" customWidth="1"/>
    <col min="9" max="9" width="12.90625" customWidth="1"/>
    <col min="10" max="10" width="11.36328125" customWidth="1"/>
    <col min="11" max="11" width="49.26953125" bestFit="1" customWidth="1"/>
  </cols>
  <sheetData>
    <row r="1" spans="1:11" s="2" customFormat="1" x14ac:dyDescent="0.35">
      <c r="A1" s="2" t="s">
        <v>0</v>
      </c>
      <c r="B1" s="2" t="s">
        <v>1</v>
      </c>
      <c r="C1" s="2" t="s">
        <v>2</v>
      </c>
      <c r="D1" s="2" t="s">
        <v>5</v>
      </c>
      <c r="E1" s="2" t="s">
        <v>6</v>
      </c>
      <c r="F1" s="2" t="s">
        <v>3</v>
      </c>
      <c r="G1" s="2" t="s">
        <v>4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>
        <v>1</v>
      </c>
      <c r="B2">
        <v>1</v>
      </c>
      <c r="C2" t="s">
        <v>11</v>
      </c>
      <c r="D2">
        <v>3</v>
      </c>
      <c r="E2">
        <v>4</v>
      </c>
      <c r="F2">
        <v>1</v>
      </c>
      <c r="G2">
        <v>3</v>
      </c>
      <c r="H2">
        <v>5</v>
      </c>
      <c r="I2">
        <v>1</v>
      </c>
      <c r="J2">
        <v>0</v>
      </c>
    </row>
    <row r="3" spans="1:11" x14ac:dyDescent="0.35">
      <c r="A3">
        <v>1</v>
      </c>
      <c r="B3">
        <v>1</v>
      </c>
      <c r="C3" t="s">
        <v>12</v>
      </c>
      <c r="D3">
        <v>1</v>
      </c>
      <c r="E3">
        <v>1</v>
      </c>
      <c r="F3">
        <v>0</v>
      </c>
      <c r="G3">
        <v>0</v>
      </c>
      <c r="H3">
        <v>0</v>
      </c>
      <c r="I3">
        <v>3</v>
      </c>
      <c r="J3">
        <v>0</v>
      </c>
      <c r="K3" t="s">
        <v>16</v>
      </c>
    </row>
    <row r="4" spans="1:11" x14ac:dyDescent="0.35">
      <c r="A4">
        <v>1</v>
      </c>
      <c r="B4">
        <v>1</v>
      </c>
      <c r="C4" t="s">
        <v>13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 s="1">
        <v>0.2</v>
      </c>
    </row>
    <row r="5" spans="1:11" x14ac:dyDescent="0.35">
      <c r="A5">
        <v>1</v>
      </c>
      <c r="B5">
        <v>1</v>
      </c>
      <c r="C5" t="s">
        <v>14</v>
      </c>
      <c r="D5">
        <v>1</v>
      </c>
      <c r="E5">
        <v>1</v>
      </c>
      <c r="F5">
        <v>2</v>
      </c>
      <c r="G5">
        <v>6</v>
      </c>
      <c r="H5">
        <v>8</v>
      </c>
      <c r="I5">
        <v>6</v>
      </c>
      <c r="J5" s="1">
        <v>0.1</v>
      </c>
      <c r="K5" t="s">
        <v>15</v>
      </c>
    </row>
    <row r="6" spans="1:11" x14ac:dyDescent="0.35">
      <c r="A6">
        <v>1</v>
      </c>
      <c r="B6">
        <v>2</v>
      </c>
      <c r="C6" t="s">
        <v>11</v>
      </c>
      <c r="D6">
        <v>3</v>
      </c>
      <c r="E6">
        <v>4</v>
      </c>
      <c r="F6">
        <v>1</v>
      </c>
      <c r="G6">
        <v>3</v>
      </c>
      <c r="H6">
        <v>5</v>
      </c>
      <c r="I6">
        <v>1</v>
      </c>
    </row>
    <row r="7" spans="1:11" x14ac:dyDescent="0.35">
      <c r="A7">
        <v>1</v>
      </c>
      <c r="B7">
        <v>2</v>
      </c>
      <c r="C7" t="s">
        <v>12</v>
      </c>
      <c r="D7">
        <v>1</v>
      </c>
      <c r="E7">
        <v>1</v>
      </c>
      <c r="F7">
        <v>0</v>
      </c>
      <c r="G7">
        <v>0</v>
      </c>
      <c r="H7">
        <v>0</v>
      </c>
      <c r="I7">
        <v>3</v>
      </c>
      <c r="J7">
        <v>0</v>
      </c>
    </row>
    <row r="8" spans="1:11" x14ac:dyDescent="0.35">
      <c r="A8">
        <v>1</v>
      </c>
      <c r="B8">
        <v>2</v>
      </c>
      <c r="C8" t="s">
        <v>13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 s="1">
        <v>0.2</v>
      </c>
    </row>
    <row r="9" spans="1:11" x14ac:dyDescent="0.35">
      <c r="A9">
        <v>1</v>
      </c>
      <c r="B9">
        <v>2</v>
      </c>
      <c r="C9" t="s">
        <v>14</v>
      </c>
      <c r="D9">
        <v>1</v>
      </c>
      <c r="E9">
        <v>1</v>
      </c>
      <c r="F9">
        <v>2</v>
      </c>
      <c r="G9">
        <v>6</v>
      </c>
      <c r="H9">
        <v>8</v>
      </c>
      <c r="I9">
        <v>8</v>
      </c>
      <c r="J9" s="1">
        <v>0.1</v>
      </c>
    </row>
    <row r="10" spans="1:11" x14ac:dyDescent="0.35">
      <c r="A10">
        <v>1</v>
      </c>
      <c r="B10">
        <v>3</v>
      </c>
      <c r="C10" t="s">
        <v>11</v>
      </c>
      <c r="D10">
        <v>3</v>
      </c>
      <c r="E10">
        <v>5</v>
      </c>
      <c r="F10">
        <v>1</v>
      </c>
      <c r="G10">
        <v>4</v>
      </c>
      <c r="H10">
        <v>6</v>
      </c>
      <c r="I10">
        <v>1</v>
      </c>
      <c r="J10">
        <v>0</v>
      </c>
    </row>
    <row r="11" spans="1:11" x14ac:dyDescent="0.35">
      <c r="A11">
        <v>1</v>
      </c>
      <c r="B11">
        <v>3</v>
      </c>
      <c r="C11" t="s">
        <v>12</v>
      </c>
      <c r="D11">
        <v>1</v>
      </c>
      <c r="E11">
        <v>2</v>
      </c>
      <c r="F11">
        <v>0</v>
      </c>
      <c r="G11">
        <v>0</v>
      </c>
      <c r="H11">
        <v>0</v>
      </c>
      <c r="I11">
        <v>4</v>
      </c>
      <c r="J11">
        <v>0</v>
      </c>
    </row>
    <row r="12" spans="1:11" x14ac:dyDescent="0.35">
      <c r="A12">
        <v>1</v>
      </c>
      <c r="B12">
        <v>3</v>
      </c>
      <c r="C12" t="s">
        <v>13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 s="1">
        <v>0.2</v>
      </c>
    </row>
    <row r="13" spans="1:11" x14ac:dyDescent="0.35">
      <c r="A13">
        <v>1</v>
      </c>
      <c r="B13">
        <v>3</v>
      </c>
      <c r="C13" t="s">
        <v>14</v>
      </c>
      <c r="D13">
        <v>1</v>
      </c>
      <c r="E13">
        <v>1</v>
      </c>
      <c r="F13">
        <v>3</v>
      </c>
      <c r="G13">
        <v>9</v>
      </c>
      <c r="H13">
        <v>12</v>
      </c>
      <c r="I13">
        <v>8</v>
      </c>
      <c r="J13" s="1">
        <v>0.1</v>
      </c>
      <c r="K13" t="s">
        <v>19</v>
      </c>
    </row>
    <row r="14" spans="1:11" x14ac:dyDescent="0.35">
      <c r="A14">
        <v>2</v>
      </c>
      <c r="B14">
        <v>1</v>
      </c>
      <c r="C14" t="s">
        <v>11</v>
      </c>
      <c r="D14">
        <v>3</v>
      </c>
      <c r="E14">
        <v>5</v>
      </c>
      <c r="F14">
        <v>2</v>
      </c>
      <c r="G14">
        <v>7</v>
      </c>
      <c r="H14">
        <v>11</v>
      </c>
      <c r="I14">
        <v>2</v>
      </c>
      <c r="J14">
        <v>0</v>
      </c>
    </row>
    <row r="15" spans="1:11" x14ac:dyDescent="0.35">
      <c r="A15">
        <v>2</v>
      </c>
      <c r="B15">
        <v>1</v>
      </c>
      <c r="C15" t="s">
        <v>12</v>
      </c>
      <c r="D15">
        <v>1</v>
      </c>
      <c r="E15">
        <v>2</v>
      </c>
      <c r="F15">
        <v>0</v>
      </c>
      <c r="G15">
        <v>0</v>
      </c>
      <c r="H15">
        <v>0</v>
      </c>
      <c r="I15">
        <v>4</v>
      </c>
      <c r="J15">
        <v>0</v>
      </c>
    </row>
    <row r="16" spans="1:11" x14ac:dyDescent="0.35">
      <c r="A16">
        <v>2</v>
      </c>
      <c r="B16">
        <v>1</v>
      </c>
      <c r="C16" t="s">
        <v>13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 s="1">
        <v>0.2</v>
      </c>
    </row>
    <row r="17" spans="1:11" x14ac:dyDescent="0.35">
      <c r="A17">
        <v>2</v>
      </c>
      <c r="B17">
        <v>1</v>
      </c>
      <c r="C17" t="s">
        <v>14</v>
      </c>
      <c r="D17">
        <v>1</v>
      </c>
      <c r="E17">
        <v>1</v>
      </c>
      <c r="F17">
        <v>3</v>
      </c>
      <c r="G17">
        <v>11</v>
      </c>
      <c r="H17">
        <v>15</v>
      </c>
      <c r="I17">
        <v>10</v>
      </c>
      <c r="J17" s="1">
        <v>0.1</v>
      </c>
    </row>
    <row r="18" spans="1:11" x14ac:dyDescent="0.35">
      <c r="A18">
        <v>2</v>
      </c>
      <c r="B18">
        <v>2</v>
      </c>
      <c r="C18" t="s">
        <v>11</v>
      </c>
      <c r="D18">
        <v>4</v>
      </c>
      <c r="E18">
        <v>5</v>
      </c>
      <c r="F18">
        <v>2</v>
      </c>
      <c r="G18">
        <v>8</v>
      </c>
      <c r="H18">
        <v>12</v>
      </c>
      <c r="I18">
        <v>2</v>
      </c>
      <c r="J18">
        <v>0</v>
      </c>
    </row>
    <row r="19" spans="1:11" x14ac:dyDescent="0.35">
      <c r="A19">
        <v>2</v>
      </c>
      <c r="B19">
        <v>2</v>
      </c>
      <c r="C19" t="s">
        <v>12</v>
      </c>
      <c r="D19">
        <v>1</v>
      </c>
      <c r="E19">
        <v>2</v>
      </c>
      <c r="F19">
        <v>0</v>
      </c>
      <c r="G19">
        <v>0</v>
      </c>
      <c r="H19">
        <v>0</v>
      </c>
      <c r="I19">
        <v>5</v>
      </c>
      <c r="J19">
        <v>0</v>
      </c>
    </row>
    <row r="20" spans="1:11" x14ac:dyDescent="0.35">
      <c r="A20">
        <v>2</v>
      </c>
      <c r="B20">
        <v>2</v>
      </c>
      <c r="C20" t="s">
        <v>13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 s="1">
        <v>0.2</v>
      </c>
    </row>
    <row r="21" spans="1:11" x14ac:dyDescent="0.35">
      <c r="A21">
        <v>2</v>
      </c>
      <c r="B21">
        <v>2</v>
      </c>
      <c r="C21" t="s">
        <v>14</v>
      </c>
      <c r="D21">
        <v>1</v>
      </c>
      <c r="E21">
        <v>1</v>
      </c>
      <c r="F21">
        <v>4</v>
      </c>
      <c r="G21">
        <v>17</v>
      </c>
      <c r="H21">
        <v>22</v>
      </c>
      <c r="I21">
        <v>10</v>
      </c>
      <c r="J21" s="1">
        <v>0.1</v>
      </c>
    </row>
    <row r="22" spans="1:11" x14ac:dyDescent="0.35">
      <c r="A22">
        <v>2</v>
      </c>
      <c r="B22">
        <v>3</v>
      </c>
      <c r="C22" t="s">
        <v>11</v>
      </c>
      <c r="D22">
        <v>4</v>
      </c>
      <c r="E22">
        <v>5</v>
      </c>
      <c r="F22">
        <v>3</v>
      </c>
      <c r="G22">
        <v>11</v>
      </c>
      <c r="H22">
        <v>16</v>
      </c>
      <c r="I22">
        <v>2</v>
      </c>
      <c r="J22">
        <v>0</v>
      </c>
    </row>
    <row r="23" spans="1:11" x14ac:dyDescent="0.35">
      <c r="A23">
        <v>2</v>
      </c>
      <c r="B23">
        <v>3</v>
      </c>
      <c r="C23" t="s">
        <v>12</v>
      </c>
      <c r="D23">
        <v>1</v>
      </c>
      <c r="E23">
        <v>2</v>
      </c>
      <c r="F23">
        <v>0</v>
      </c>
      <c r="G23">
        <v>0</v>
      </c>
      <c r="H23">
        <v>0</v>
      </c>
      <c r="I23">
        <v>5</v>
      </c>
      <c r="J23">
        <v>0</v>
      </c>
    </row>
    <row r="24" spans="1:11" x14ac:dyDescent="0.35">
      <c r="A24">
        <v>2</v>
      </c>
      <c r="B24">
        <v>3</v>
      </c>
      <c r="C24" t="s">
        <v>13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 s="1">
        <v>0.2</v>
      </c>
    </row>
    <row r="25" spans="1:11" x14ac:dyDescent="0.35">
      <c r="A25">
        <v>2</v>
      </c>
      <c r="B25">
        <v>3</v>
      </c>
      <c r="C25" t="s">
        <v>14</v>
      </c>
      <c r="D25">
        <v>1</v>
      </c>
      <c r="E25">
        <v>1</v>
      </c>
      <c r="F25">
        <v>5</v>
      </c>
      <c r="G25">
        <v>22</v>
      </c>
      <c r="H25">
        <v>27</v>
      </c>
      <c r="I25">
        <v>10</v>
      </c>
      <c r="J25" s="1">
        <v>0.1</v>
      </c>
      <c r="K25" t="s">
        <v>20</v>
      </c>
    </row>
    <row r="26" spans="1:11" x14ac:dyDescent="0.35">
      <c r="A26">
        <v>3</v>
      </c>
      <c r="B26">
        <v>1</v>
      </c>
      <c r="C26" t="s">
        <v>11</v>
      </c>
      <c r="D26">
        <v>4</v>
      </c>
      <c r="E26">
        <v>6</v>
      </c>
      <c r="F26">
        <v>3</v>
      </c>
      <c r="G26">
        <v>14</v>
      </c>
      <c r="H26">
        <v>18</v>
      </c>
      <c r="I26">
        <v>3</v>
      </c>
      <c r="J26">
        <v>0</v>
      </c>
    </row>
    <row r="27" spans="1:11" x14ac:dyDescent="0.35">
      <c r="A27">
        <v>3</v>
      </c>
      <c r="B27">
        <v>1</v>
      </c>
      <c r="C27" t="s">
        <v>12</v>
      </c>
      <c r="D27">
        <v>1</v>
      </c>
      <c r="E27">
        <v>2</v>
      </c>
      <c r="F27">
        <v>0</v>
      </c>
      <c r="G27">
        <v>0</v>
      </c>
      <c r="H27">
        <v>0</v>
      </c>
      <c r="I27">
        <v>6</v>
      </c>
      <c r="J27">
        <v>0</v>
      </c>
    </row>
    <row r="28" spans="1:11" x14ac:dyDescent="0.35">
      <c r="A28">
        <v>3</v>
      </c>
      <c r="B28">
        <v>1</v>
      </c>
      <c r="C28" t="s">
        <v>13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 s="1">
        <v>0.2</v>
      </c>
    </row>
    <row r="29" spans="1:11" x14ac:dyDescent="0.35">
      <c r="A29">
        <v>3</v>
      </c>
      <c r="B29">
        <v>1</v>
      </c>
      <c r="C29" t="s">
        <v>14</v>
      </c>
      <c r="D29">
        <v>1</v>
      </c>
      <c r="E29">
        <v>1</v>
      </c>
      <c r="F29">
        <v>6</v>
      </c>
      <c r="G29">
        <v>32</v>
      </c>
      <c r="H29">
        <v>42</v>
      </c>
      <c r="I29">
        <v>12</v>
      </c>
      <c r="J29" s="1">
        <v>0.1</v>
      </c>
    </row>
    <row r="30" spans="1:11" x14ac:dyDescent="0.35">
      <c r="A30">
        <v>3</v>
      </c>
      <c r="B30">
        <v>2</v>
      </c>
      <c r="C30" t="s">
        <v>11</v>
      </c>
      <c r="D30">
        <v>5</v>
      </c>
      <c r="E30">
        <v>7</v>
      </c>
      <c r="F30">
        <v>4</v>
      </c>
      <c r="G30">
        <v>18</v>
      </c>
      <c r="H30">
        <v>25</v>
      </c>
      <c r="I30">
        <v>3</v>
      </c>
      <c r="J30">
        <v>0</v>
      </c>
    </row>
    <row r="31" spans="1:11" x14ac:dyDescent="0.35">
      <c r="A31">
        <v>3</v>
      </c>
      <c r="B31">
        <v>2</v>
      </c>
      <c r="C31" t="s">
        <v>12</v>
      </c>
      <c r="D31">
        <v>2</v>
      </c>
      <c r="E31">
        <v>2</v>
      </c>
      <c r="F31">
        <v>0</v>
      </c>
      <c r="G31">
        <v>0</v>
      </c>
      <c r="H31">
        <v>0</v>
      </c>
      <c r="I31">
        <v>8</v>
      </c>
      <c r="J31">
        <v>0</v>
      </c>
    </row>
    <row r="32" spans="1:11" x14ac:dyDescent="0.35">
      <c r="A32">
        <v>3</v>
      </c>
      <c r="B32">
        <v>2</v>
      </c>
      <c r="C32" t="s">
        <v>13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 s="1">
        <v>0.2</v>
      </c>
    </row>
    <row r="33" spans="1:11" x14ac:dyDescent="0.35">
      <c r="A33">
        <v>3</v>
      </c>
      <c r="B33">
        <v>2</v>
      </c>
      <c r="C33" t="s">
        <v>14</v>
      </c>
      <c r="D33">
        <v>1</v>
      </c>
      <c r="E33">
        <v>1</v>
      </c>
      <c r="F33">
        <v>7</v>
      </c>
      <c r="G33">
        <v>43</v>
      </c>
      <c r="H33">
        <v>52</v>
      </c>
      <c r="I33">
        <v>15</v>
      </c>
      <c r="J33" s="1">
        <v>0.1</v>
      </c>
    </row>
    <row r="34" spans="1:11" x14ac:dyDescent="0.35">
      <c r="A34">
        <v>3</v>
      </c>
      <c r="B34">
        <v>3</v>
      </c>
      <c r="C34" t="s">
        <v>11</v>
      </c>
      <c r="D34">
        <v>6</v>
      </c>
      <c r="E34">
        <v>7</v>
      </c>
      <c r="F34">
        <v>4</v>
      </c>
      <c r="G34">
        <v>20</v>
      </c>
      <c r="H34">
        <v>32</v>
      </c>
      <c r="I34">
        <v>3</v>
      </c>
      <c r="J34">
        <v>0</v>
      </c>
    </row>
    <row r="35" spans="1:11" x14ac:dyDescent="0.35">
      <c r="A35">
        <v>3</v>
      </c>
      <c r="B35">
        <v>3</v>
      </c>
      <c r="C35" t="s">
        <v>12</v>
      </c>
      <c r="D35">
        <v>2</v>
      </c>
      <c r="E35">
        <v>2</v>
      </c>
      <c r="F35">
        <v>0</v>
      </c>
      <c r="G35">
        <v>0</v>
      </c>
      <c r="H35">
        <v>0</v>
      </c>
      <c r="I35">
        <v>10</v>
      </c>
      <c r="J35">
        <v>0</v>
      </c>
      <c r="K35" t="s">
        <v>17</v>
      </c>
    </row>
    <row r="36" spans="1:11" x14ac:dyDescent="0.35">
      <c r="A36">
        <v>3</v>
      </c>
      <c r="B36">
        <v>3</v>
      </c>
      <c r="C36" t="s">
        <v>13</v>
      </c>
      <c r="D36">
        <v>1</v>
      </c>
      <c r="E36">
        <v>2</v>
      </c>
      <c r="F36">
        <v>0</v>
      </c>
      <c r="G36">
        <v>0</v>
      </c>
      <c r="H36">
        <v>0</v>
      </c>
      <c r="I36">
        <v>0</v>
      </c>
      <c r="J36" s="1">
        <v>0.35</v>
      </c>
    </row>
    <row r="37" spans="1:11" x14ac:dyDescent="0.35">
      <c r="A37">
        <v>3</v>
      </c>
      <c r="B37">
        <v>3</v>
      </c>
      <c r="C37" t="s">
        <v>14</v>
      </c>
      <c r="D37">
        <v>1</v>
      </c>
      <c r="E37">
        <v>1</v>
      </c>
      <c r="F37">
        <v>9</v>
      </c>
      <c r="G37">
        <v>60</v>
      </c>
      <c r="H37">
        <v>81</v>
      </c>
      <c r="I37">
        <v>30</v>
      </c>
      <c r="J37" s="1">
        <v>0.15</v>
      </c>
      <c r="K37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4.5"/>
  <cols>
    <col min="1" max="1" width="25" hidden="0" customWidth="1"/>
    <col min="2" max="2" width="26" hidden="0" customWidth="1"/>
    <col min="3" max="3" width="23" hidden="0" customWidth="1"/>
    <col min="4" max="4" width="18" hidden="0" customWidth="1"/>
    <col min="5" max="5" width="6.453125" customWidth="1"/>
    <col min="6" max="7" width="13.6328125" customWidth="1"/>
    <col min="8" max="8" width="16" hidden="0" customWidth="1"/>
    <col min="9" max="9" width="16" hidden="0" customWidth="1"/>
    <col min="10" max="10" width="16" hidden="0" customWidth="1"/>
    <col min="11" max="11" width="20" hidden="0" customWidth="1"/>
    <col min="12" max="12" width="9.90625" customWidth="1"/>
    <col min="13" max="13" width="85" hidden="0" customWidth="1"/>
  </cols>
  <sheetData>
    <row r="1" ht="32" customHeight="1">
      <c r="A1" s="16" t="inlineStr">
        <is>
          <t xml:space="preserve">Enemy ID</t>
        </is>
      </c>
      <c r="B1" s="16" t="inlineStr">
        <is>
          <t xml:space="preserve">Enemy Name</t>
        </is>
      </c>
      <c r="C1" s="16" t="inlineStr">
        <is>
          <t xml:space="preserve">Stage Availability</t>
        </is>
      </c>
      <c r="D1" s="16" t="inlineStr">
        <is>
          <t xml:space="preserve">Enemy Difficulty</t>
        </is>
      </c>
      <c r="E1" s="16" t="inlineStr">
        <is>
          <t xml:space="preserve">HP</t>
        </is>
      </c>
      <c r="F1" s="16" t="inlineStr">
        <is>
          <t xml:space="preserve">Melee Dmg</t>
        </is>
      </c>
      <c r="G1" s="16" t="inlineStr">
        <is>
          <t xml:space="preserve">Range Dmg</t>
        </is>
      </c>
      <c r="H1" s="16" t="str">
        <v>Speed (px/s)</v>
      </c>
      <c r="I1" s="16" t="str">
        <v>Hit radius (px)</v>
      </c>
      <c r="J1" s="16" t="str">
        <v>Recovery (s)</v>
      </c>
      <c r="K1" s="16" t="str">
        <v>Hit knockback (px/s)</v>
      </c>
      <c r="L1" s="16" t="inlineStr">
        <is>
          <t xml:space="preserve">Weight</t>
        </is>
      </c>
      <c r="M1" s="16" t="inlineStr">
        <is>
          <t xml:space="preserve">Notes</t>
        </is>
      </c>
    </row>
    <row r="2" ht="44" customHeight="1">
      <c r="A2" s="16" t="str">
        <v>training_dummy_2</v>
      </c>
      <c r="B2" s="16" t="str">
        <v>Training Dummy 2</v>
      </c>
      <c r="C2" s="17" t="str">
        <v>1-1</v>
      </c>
      <c r="D2" s="18" t="n">
        <v>1</v>
      </c>
      <c r="E2" s="18" t="n">
        <v>10</v>
      </c>
      <c r="F2" s="18" t="n">
        <v>3</v>
      </c>
      <c r="G2" s="18" t="n">
        <v>0</v>
      </c>
      <c r="H2" s="18" t="n">
        <v>18</v>
      </c>
      <c r="I2" s="18" t="n">
        <v>22</v>
      </c>
      <c r="J2" s="19" t="n">
        <v>0.35</v>
      </c>
      <c r="K2" s="18" t="n">
        <v>90</v>
      </c>
      <c r="L2" s="18"/>
      <c r="M2" s="16" t="str">
        <v>Current scene values. Trigger range 25 px; windup 0.5 s, dash 100 px/s up to 0.3 s, spin 3 s. First-run 1-1 roster.</v>
      </c>
    </row>
    <row r="3" ht="44" customHeight="1">
      <c r="A3" s="16" t="str">
        <v>goblin_barrel</v>
      </c>
      <c r="B3" s="16" t="str">
        <v>Goblin Barrel</v>
      </c>
      <c r="C3" s="16" t="str">
        <v>1-1 replay</v>
      </c>
      <c r="D3" s="18"/>
      <c r="E3" s="18" t="n">
        <v>16</v>
      </c>
      <c r="F3" s="18" t="n">
        <v>1</v>
      </c>
      <c r="G3" s="18" t="n">
        <v>0</v>
      </c>
      <c r="H3" s="18" t="n">
        <v>40</v>
      </c>
      <c r="I3" s="18" t="n">
        <v>20</v>
      </c>
      <c r="J3" s="19" t="n">
        <v>0.8</v>
      </c>
      <c r="K3" s="18" t="n">
        <v>180</v>
      </c>
      <c r="L3" s="18"/>
      <c r="M3" s="16" t="str">
        <v>Current scene + hitbox defaults. Added after recorded 1-1 clear; also boss summons. Windup 0.18 s, dash 75 px/s for 0.5 s, swing 0.32 s; hit at 0.12 s.</v>
      </c>
    </row>
    <row r="4" ht="44" customHeight="1">
      <c r="A4" s="16" t="str">
        <v>green_goblin</v>
      </c>
      <c r="B4" s="16" t="str">
        <v>Green Goblin</v>
      </c>
      <c r="C4" s="16" t="str">
        <v>1-2</v>
      </c>
      <c r="D4" s="18"/>
      <c r="E4" s="18" t="n">
        <v>20</v>
      </c>
      <c r="F4" s="18" t="n">
        <v>5</v>
      </c>
      <c r="G4" s="18" t="n">
        <v>0</v>
      </c>
      <c r="H4" s="18" t="n">
        <v>40</v>
      </c>
      <c r="I4" s="18" t="n">
        <v>20</v>
      </c>
      <c r="J4" s="19" t="n">
        <v>0.8</v>
      </c>
      <c r="K4" s="18" t="n">
        <v>0</v>
      </c>
      <c r="L4" s="18"/>
      <c r="M4" s="16" t="str">
        <v>Implemented. Barrel-style attack; trigger 25 px, detection 80 px. Windup 0.18 s, dash 0.5 s, swing 0.32 s, hit at 0.12 s.</v>
      </c>
    </row>
    <row r="5" ht="44" customHeight="1">
      <c r="A5" s="16" t="str">
        <v>green_orc_archer</v>
      </c>
      <c r="B5" s="16" t="str">
        <v>Green Orc Archer</v>
      </c>
      <c r="C5" s="16" t="str">
        <v>1-2; 1-3</v>
      </c>
      <c r="D5" s="18"/>
      <c r="E5" s="18" t="n">
        <v>20</v>
      </c>
      <c r="F5" s="18" t="n">
        <v>0</v>
      </c>
      <c r="G5" s="18" t="n">
        <v>5</v>
      </c>
      <c r="H5" s="18" t="n">
        <v>40</v>
      </c>
      <c r="I5" s="18" t="n">
        <v>0</v>
      </c>
      <c r="J5" s="19" t="n">
        <v>0.8</v>
      </c>
      <c r="K5" s="18" t="n">
        <v>0</v>
      </c>
      <c r="L5" s="18"/>
      <c r="M5" s="16" t="str">
        <v>Implemented; orc_archer is the 1-3 catalogue alias for this scene. Detection 160 px, fire range 100 px. Windup 0.18 s, attack 0.32 s, release at 0.12 s; arrow 180 px/s, lifetime 2 s.</v>
      </c>
    </row>
    <row r="6" ht="44" customHeight="1">
      <c r="A6" s="16" t="str">
        <v>orc_barbare</v>
      </c>
      <c r="B6" s="16" t="str">
        <v>Green Orc Barbare</v>
      </c>
      <c r="C6" s="16" t="str">
        <v>1-3</v>
      </c>
      <c r="D6" s="18"/>
      <c r="E6" s="18" t="n">
        <v>20</v>
      </c>
      <c r="F6" s="18" t="n">
        <v>5</v>
      </c>
      <c r="G6" s="18" t="n">
        <v>0</v>
      </c>
      <c r="H6" s="18" t="n">
        <v>40</v>
      </c>
      <c r="I6" s="18" t="n">
        <v>20</v>
      </c>
      <c r="J6" s="19" t="n">
        <v>0.8</v>
      </c>
      <c r="K6" s="18" t="n">
        <v>0</v>
      </c>
      <c r="L6" s="18"/>
      <c r="M6" s="16" t="str">
        <v>Implemented. Stationary swing, no dash. Trigger 25 px; windup 0.18 s, attack 0.32 s, hit at 0.12 s.</v>
      </c>
    </row>
    <row r="7" ht="44" customHeight="1">
      <c r="A7" s="16" t="str">
        <v>blue_orc_archer</v>
      </c>
      <c r="B7" s="16" t="str">
        <v>Blue Orc Archer</v>
      </c>
      <c r="C7" s="16" t="str">
        <v>1-3</v>
      </c>
      <c r="D7" s="18"/>
      <c r="E7" s="18" t="n">
        <v>20</v>
      </c>
      <c r="F7" s="18" t="n">
        <v>0</v>
      </c>
      <c r="G7" s="18" t="n">
        <v>5</v>
      </c>
      <c r="H7" s="18" t="n">
        <v>40</v>
      </c>
      <c r="I7" s="18" t="n">
        <v>0</v>
      </c>
      <c r="J7" s="19" t="n">
        <v>0.8</v>
      </c>
      <c r="K7" s="18" t="n">
        <v>0</v>
      </c>
      <c r="L7" s="18"/>
      <c r="M7" s="16" t="str">
        <v>Implemented. Same initial stats and size as green archer; tune separately later.</v>
      </c>
    </row>
    <row r="8" ht="44" customHeight="1">
      <c r="A8" s="16" t="str">
        <v>red_orc_archer</v>
      </c>
      <c r="B8" s="16" t="str">
        <v>Red Orc Archer</v>
      </c>
      <c r="C8" s="16" t="str">
        <v>1-3</v>
      </c>
      <c r="D8" s="18"/>
      <c r="E8" s="18" t="n">
        <v>20</v>
      </c>
      <c r="F8" s="18" t="n">
        <v>0</v>
      </c>
      <c r="G8" s="18" t="n">
        <v>5</v>
      </c>
      <c r="H8" s="18" t="n">
        <v>40</v>
      </c>
      <c r="I8" s="18" t="n">
        <v>0</v>
      </c>
      <c r="J8" s="19" t="n">
        <v>0.8</v>
      </c>
      <c r="K8" s="18" t="n">
        <v>0</v>
      </c>
      <c r="L8" s="18"/>
      <c r="M8" s="16" t="str">
        <v>Implemented. Same initial stats and size as green archer; tune separately later.</v>
      </c>
    </row>
    <row r="9" ht="44" customHeight="1">
      <c r="A9" s="16" t="str">
        <v>blue_orc_barbare</v>
      </c>
      <c r="B9" s="16" t="str">
        <v>Blue Orc Barbare</v>
      </c>
      <c r="C9" s="16" t="str">
        <v>1-3</v>
      </c>
      <c r="D9" s="18"/>
      <c r="E9" s="18" t="n">
        <v>20</v>
      </c>
      <c r="F9" s="18" t="n">
        <v>5</v>
      </c>
      <c r="G9" s="18" t="n">
        <v>0</v>
      </c>
      <c r="H9" s="18" t="n">
        <v>40</v>
      </c>
      <c r="I9" s="18" t="n">
        <v>20</v>
      </c>
      <c r="J9" s="19" t="n">
        <v>0.8</v>
      </c>
      <c r="K9" s="18" t="n">
        <v>0</v>
      </c>
      <c r="L9" s="18"/>
      <c r="M9" s="16" t="str">
        <v>Implemented. Same initial stats and size as green Barbare; tune separately later.</v>
      </c>
    </row>
    <row r="10" ht="44" customHeight="1">
      <c r="A10" s="16" t="str">
        <v>red_orc_barbare</v>
      </c>
      <c r="B10" s="16" t="str">
        <v>Red Orc Barbare</v>
      </c>
      <c r="C10" s="16" t="str">
        <v>1-3</v>
      </c>
      <c r="D10" s="18"/>
      <c r="E10" s="18" t="n">
        <v>20</v>
      </c>
      <c r="F10" s="18" t="n">
        <v>5</v>
      </c>
      <c r="G10" s="18" t="n">
        <v>0</v>
      </c>
      <c r="H10" s="18" t="n">
        <v>40</v>
      </c>
      <c r="I10" s="18" t="n">
        <v>20</v>
      </c>
      <c r="J10" s="19" t="n">
        <v>0.8</v>
      </c>
      <c r="K10" s="18" t="n">
        <v>0</v>
      </c>
      <c r="L10" s="18"/>
      <c r="M10" s="16" t="str">
        <v>Implemented. Same initial stats and size as green Barbare; tune separately later.</v>
      </c>
    </row>
    <row r="11" ht="44" customHeight="1">
      <c r="A11" s="16" t="str">
        <v>monster_slasher</v>
      </c>
      <c r="B11" s="16" t="str">
        <v>MonsterSlasher</v>
      </c>
      <c r="C11" s="16" t="str">
        <v>1-3 boss support</v>
      </c>
      <c r="D11" s="18"/>
      <c r="E11" s="18" t="n">
        <v>20</v>
      </c>
      <c r="F11" s="18" t="n">
        <v>5</v>
      </c>
      <c r="G11" s="18" t="n">
        <v>0</v>
      </c>
      <c r="H11" s="18" t="n">
        <v>40</v>
      </c>
      <c r="I11" s="18" t="n">
        <v>20</v>
      </c>
      <c r="J11" s="19" t="n">
        <v>0.8</v>
      </c>
      <c r="K11" s="18" t="n">
        <v>0</v>
      </c>
      <c r="L11" s="18"/>
      <c r="M11" s="16" t="str">
        <v>Implemented. Two opposite horizontal passes; dash 75 px/s, pass duration 0.5 s. Two initially; two more after goblin waves 1 and 2.</v>
      </c>
    </row>
    <row r="12" ht="44" customHeight="1">
      <c r="A12" s="16" t="str">
        <v>sorcerer</v>
      </c>
      <c r="B12" s="16" t="str">
        <v>Sorcerer</v>
      </c>
      <c r="C12" s="16" t="str">
        <v>1-3 boss</v>
      </c>
      <c r="D12" s="18"/>
      <c r="E12" s="18" t="n">
        <v>20</v>
      </c>
      <c r="F12" s="18" t="n">
        <v>0</v>
      </c>
      <c r="G12" s="18" t="n">
        <v>0</v>
      </c>
      <c r="H12" s="18" t="n">
        <v>0</v>
      </c>
      <c r="I12" s="18" t="n">
        <v>0</v>
      </c>
      <c r="J12" s="19"/>
      <c r="K12" s="18" t="n">
        <v>120</v>
      </c>
      <c r="L12" s="18"/>
      <c r="M12" s="16" t="str">
        <v>Implemented; stationary, summon-only (configured unused damage 5). First summon after 3 s; 3 waves of 3 barrels. Next wave waits for goblins to die. All support must die to clear.</v>
      </c>
    </row>
    <row r="13" ht="44" customHeight="1">
      <c r="A13" s="16" t="str">
        <v>frog_monster</v>
      </c>
      <c r="B13" s="16" t="str">
        <v>FrogMonster</v>
      </c>
      <c r="C13" s="16" t="str">
        <v>2-1; 2-3</v>
      </c>
      <c r="D13" s="18"/>
      <c r="E13" s="18"/>
      <c r="F13" s="18"/>
      <c r="G13" s="18"/>
      <c r="H13" s="18"/>
      <c r="I13" s="18"/>
      <c r="J13" s="19"/>
      <c r="K13" s="18"/>
      <c r="L13" s="18"/>
      <c r="M13" s="16" t="str">
        <v>Planned only. Melee; exact attack design and stats require approval.</v>
      </c>
    </row>
    <row r="14" ht="44" customHeight="1">
      <c r="A14" s="16" t="str">
        <v>mushroom</v>
      </c>
      <c r="B14" s="16" t="str">
        <v>Mushroom</v>
      </c>
      <c r="C14" s="16" t="str">
        <v>2-1; 2-2; 2-3</v>
      </c>
      <c r="D14" s="18"/>
      <c r="E14" s="18"/>
      <c r="F14" s="18"/>
      <c r="G14" s="18"/>
      <c r="H14" s="18"/>
      <c r="I14" s="18"/>
      <c r="J14" s="19"/>
      <c r="K14" s="18"/>
      <c r="L14" s="18"/>
      <c r="M14" s="16" t="str">
        <v>Planned only. Ranged; exact attack design and stats require approval.</v>
      </c>
    </row>
    <row r="15" ht="44" customHeight="1">
      <c r="A15" s="16" t="str">
        <v>ent</v>
      </c>
      <c r="B15" s="16" t="str">
        <v>Ent</v>
      </c>
      <c r="C15" s="16" t="str">
        <v>2-2; 2-3</v>
      </c>
      <c r="D15" s="18"/>
      <c r="E15" s="18"/>
      <c r="F15" s="18"/>
      <c r="G15" s="18"/>
      <c r="H15" s="18"/>
      <c r="I15" s="18"/>
      <c r="J15" s="19"/>
      <c r="K15" s="18"/>
      <c r="L15" s="18"/>
      <c r="M15" s="16" t="str">
        <v>Planned only. Melee; exact attack design and stats require approval.</v>
      </c>
    </row>
    <row r="16" ht="44" customHeight="1">
      <c r="A16" s="16" t="str">
        <v>cyclop_archer</v>
      </c>
      <c r="B16" s="16" t="str">
        <v>Cyclop Archer</v>
      </c>
      <c r="C16" s="16" t="str">
        <v>2-3</v>
      </c>
      <c r="D16" s="18"/>
      <c r="E16" s="18"/>
      <c r="F16" s="18"/>
      <c r="G16" s="18"/>
      <c r="H16" s="18"/>
      <c r="I16" s="18"/>
      <c r="J16" s="19"/>
      <c r="K16" s="18"/>
      <c r="L16" s="18"/>
      <c r="M16" s="16" t="str">
        <v>Planned only. Ranged; exact attack design and stats require approval.</v>
      </c>
    </row>
    <row r="17" ht="44" customHeight="1">
      <c r="A17" s="16" t="str">
        <v>frog_boss</v>
      </c>
      <c r="B17" s="16" t="str">
        <v>FrogBoss</v>
      </c>
      <c r="C17" s="16" t="str">
        <v>2-3 boss</v>
      </c>
      <c r="D17" s="18"/>
      <c r="E17" s="18"/>
      <c r="F17" s="18"/>
      <c r="G17" s="18"/>
      <c r="H17" s="18"/>
      <c r="I17" s="18"/>
      <c r="J17" s="19"/>
      <c r="K17" s="18"/>
      <c r="L17" s="18"/>
      <c r="M17" s="16" t="str">
        <v>Planned only. Major boss; exact attack design and stats require approval.</v>
      </c>
    </row>
    <row r="18" ht="44" customHeight="1">
      <c r="A18" s="16" t="str">
        <v>dwarfette</v>
      </c>
      <c r="B18" s="16" t="str">
        <v>Dwarfette / Wrecking Ball</v>
      </c>
      <c r="C18" s="16" t="str">
        <v>3-1; 3-3</v>
      </c>
      <c r="D18" s="18"/>
      <c r="E18" s="18"/>
      <c r="F18" s="18"/>
      <c r="G18" s="18"/>
      <c r="H18" s="18"/>
      <c r="I18" s="18"/>
      <c r="J18" s="19"/>
      <c r="K18" s="18"/>
      <c r="L18" s="18"/>
      <c r="M18" s="16" t="str">
        <v>Planned only. Melee; exact attack design and stats require approval.</v>
      </c>
    </row>
    <row r="19" ht="44" customHeight="1">
      <c r="A19" s="16" t="str">
        <v>monsterfly</v>
      </c>
      <c r="B19" s="16" t="str">
        <v>Monsterfly</v>
      </c>
      <c r="C19" s="16" t="str">
        <v>3-1</v>
      </c>
      <c r="D19" s="18"/>
      <c r="E19" s="18"/>
      <c r="F19" s="18"/>
      <c r="G19" s="18"/>
      <c r="H19" s="18"/>
      <c r="I19" s="18"/>
      <c r="J19" s="19"/>
      <c r="K19" s="18"/>
      <c r="L19" s="18"/>
      <c r="M19" s="16" t="str">
        <v>Planned only. Regular enemy; exact attack design and stats require approval.</v>
      </c>
    </row>
    <row r="20" ht="44" customHeight="1">
      <c r="A20" s="16" t="str">
        <v>rhino_monster</v>
      </c>
      <c r="B20" s="16" t="str">
        <v>RhinoMonster</v>
      </c>
      <c r="C20" s="16" t="str">
        <v>3-2; 3-3</v>
      </c>
      <c r="D20" s="18"/>
      <c r="E20" s="18"/>
      <c r="F20" s="18"/>
      <c r="G20" s="18"/>
      <c r="H20" s="18"/>
      <c r="I20" s="18"/>
      <c r="J20" s="19"/>
      <c r="K20" s="18"/>
      <c r="L20" s="18"/>
      <c r="M20" s="16" t="str">
        <v>Planned only. Charge enemy; formerly called Smasher; exact attack design and stats require approval.</v>
      </c>
    </row>
    <row r="21" ht="44" customHeight="1">
      <c r="A21" s="16" t="str">
        <v>vampire_archer</v>
      </c>
      <c r="B21" s="16" t="str">
        <v>Vampire Archer</v>
      </c>
      <c r="C21" s="16" t="str">
        <v>3-2; 3-3</v>
      </c>
      <c r="D21" s="18"/>
      <c r="E21" s="18"/>
      <c r="F21" s="18"/>
      <c r="G21" s="18"/>
      <c r="H21" s="18"/>
      <c r="I21" s="18"/>
      <c r="J21" s="19"/>
      <c r="K21" s="18"/>
      <c r="L21" s="18"/>
      <c r="M21" s="16" t="str">
        <v>Planned only. Ranged; exact attack design and stats require approval.</v>
      </c>
    </row>
    <row r="22" ht="44" customHeight="1">
      <c r="A22" s="16" t="str">
        <v>game_master</v>
      </c>
      <c r="B22" s="16" t="str">
        <v>GameMaster</v>
      </c>
      <c r="C22" s="16" t="str">
        <v>3-3 boss</v>
      </c>
      <c r="D22" s="18"/>
      <c r="E22" s="18"/>
      <c r="F22" s="18"/>
      <c r="G22" s="18"/>
      <c r="H22" s="18"/>
      <c r="I22" s="18"/>
      <c r="J22" s="19"/>
      <c r="K22" s="18"/>
      <c r="L22" s="18"/>
      <c r="M22" s="16" t="str">
        <v>Planned only. Major boss; exact attack design and stats require approval.</v>
      </c>
    </row>
    <row r="25">
      <c r="A25" t="str">
        <v>Availability = main roster. About 20% carryover from the preceding floor within the same stage; exclude bosses, summons and final challenges.</v>
      </c>
    </row>
    <row r="26">
      <c r="A26" t="str">
        <v>Blank difficulty/weight = not yet tuned. Recovery is post-attack recovery, not full attack cycle. Knockback is received hit speed (0 = disabled).</v>
      </c>
    </row>
    <row r="27">
      <c r="A27" t="str">
        <v>Implemented values reflect current scripts/scenes; workbook edits do not automatically change the game. Future enemy stats remain blank until approved.</v>
      </c>
    </row>
  </sheetData>
  <mergeCells>
    <mergeCell ref="A25:M25"/>
    <mergeCell ref="A26:M26"/>
    <mergeCell ref="A27:M27"/>
  </mergeCell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D8433-328C-4BCC-85ED-766D764BAD18}">
  <dimension ref="A1:K1"/>
  <sheetViews>
    <sheetView workbookViewId="0">
      <selection activeCell="C15" sqref="C15"/>
    </sheetView>
  </sheetViews>
  <sheetFormatPr defaultRowHeight="14.5" x14ac:dyDescent="0.35"/>
  <cols>
    <col min="1" max="1" width="12.08984375" bestFit="1" customWidth="1"/>
    <col min="2" max="2" width="15.26953125" bestFit="1" customWidth="1"/>
    <col min="3" max="3" width="11.26953125" bestFit="1" customWidth="1"/>
    <col min="4" max="4" width="11.453125" bestFit="1" customWidth="1"/>
    <col min="5" max="5" width="8.26953125" bestFit="1" customWidth="1"/>
    <col min="6" max="6" width="12.36328125" bestFit="1" customWidth="1"/>
    <col min="7" max="7" width="14.453125" bestFit="1" customWidth="1"/>
    <col min="8" max="8" width="13.36328125" bestFit="1" customWidth="1"/>
    <col min="9" max="9" width="18.1796875" bestFit="1" customWidth="1"/>
    <col min="10" max="10" width="12.81640625" bestFit="1" customWidth="1"/>
    <col min="11" max="11" width="7.90625" bestFit="1" customWidth="1"/>
  </cols>
  <sheetData>
    <row r="1" spans="1:11" x14ac:dyDescent="0.3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30</v>
      </c>
      <c r="G1" t="s">
        <v>37</v>
      </c>
      <c r="H1" t="s">
        <v>38</v>
      </c>
      <c r="I1" t="s">
        <v>39</v>
      </c>
      <c r="J1" t="s">
        <v>40</v>
      </c>
      <c r="K1" t="s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4.5"/>
  <cols>
    <col min="1" max="1" width="25" hidden="0" customWidth="1"/>
    <col min="2" max="2" width="26" hidden="0" customWidth="1"/>
    <col min="3" max="3" width="43" hidden="0" customWidth="1"/>
    <col min="4" max="4" width="10.7265625" customWidth="1"/>
    <col min="5" max="5" width="11.08984375" customWidth="1"/>
    <col min="6" max="6" width="10.453125" customWidth="1"/>
    <col min="7" max="7" width="14" customWidth="1"/>
    <col min="8" max="8" width="16" hidden="0" customWidth="1"/>
    <col min="10" max="10" width="73" hidden="0" customWidth="1"/>
    <col min="11" max="11" width="20" hidden="0" customWidth="1"/>
    <col min="12" max="12" width="14" hidden="0" customWidth="1"/>
  </cols>
  <sheetData>
    <row r="1" ht="32" customHeight="1">
      <c r="A1" s="16" t="inlineStr">
        <is>
          <t xml:space="preserve">Debuff ID</t>
        </is>
      </c>
      <c r="B1" s="16" t="inlineStr">
        <is>
          <t xml:space="preserve">Debuff Name</t>
        </is>
      </c>
      <c r="C1" s="16" t="inlineStr">
        <is>
          <t xml:space="preserve">Description</t>
        </is>
      </c>
      <c r="D1" s="16" t="inlineStr">
        <is>
          <t xml:space="preserve">Stage min</t>
        </is>
      </c>
      <c r="E1" s="16" t="inlineStr">
        <is>
          <t xml:space="preserve">Stage max</t>
        </is>
      </c>
      <c r="F1" s="16" t="inlineStr">
        <is>
          <t xml:space="preserve">Debuff % </t>
        </is>
      </c>
      <c r="G1" s="16" t="inlineStr">
        <is>
          <t xml:space="preserve">Enemy Buff % </t>
        </is>
      </c>
      <c r="H1" s="16" t="str">
        <v>Difficulty tier</v>
      </c>
      <c r="I1" s="16" t="inlineStr">
        <is>
          <t xml:space="preserve">Weight</t>
        </is>
      </c>
      <c r="J1" s="16" t="inlineStr">
        <is>
          <t xml:space="preserve">Notes</t>
        </is>
      </c>
      <c r="K1" s="16" t="str">
        <v>Room-clear essence</v>
      </c>
      <c r="L1" s="16" t="str">
        <v>Status</v>
      </c>
    </row>
    <row r="2" ht="28" customHeight="1">
      <c r="A2" s="16" t="str">
        <v>enemy_health</v>
      </c>
      <c r="B2" s="16" t="str">
        <v>Health boost I</v>
      </c>
      <c r="C2" s="16" t="str">
        <v>Increase enemy maximum HP</v>
      </c>
      <c r="D2" s="18" t="n">
        <v>1</v>
      </c>
      <c r="E2" s="18" t="n">
        <v>3</v>
      </c>
      <c r="F2" s="22" t="n">
        <v>0</v>
      </c>
      <c r="G2" s="22" t="n">
        <v>0.3</v>
      </c>
      <c r="H2" s="18" t="n">
        <v>1</v>
      </c>
      <c r="I2" s="18" t="n">
        <v>1</v>
      </c>
      <c r="J2" s="18" t="str">
        <v>Initial enemies in this room only.</v>
      </c>
      <c r="K2" s="18" t="n">
        <f>IF(I2=0,0,H2)</f>
        <v>1</v>
      </c>
      <c r="L2" s="16" t="str">
        <v>Planned</v>
      </c>
    </row>
    <row r="3" ht="28" customHeight="1">
      <c r="A3" s="16" t="str">
        <v>more_enemies</v>
      </c>
      <c r="B3" s="16" t="str">
        <v>More enemies</v>
      </c>
      <c r="C3" s="16" t="str">
        <v>Increase initial enemy count</v>
      </c>
      <c r="D3" s="18" t="n">
        <v>1</v>
      </c>
      <c r="E3" s="18" t="n">
        <v>2</v>
      </c>
      <c r="F3" s="22" t="n">
        <v>0</v>
      </c>
      <c r="G3" s="22" t="n">
        <v>0.4</v>
      </c>
      <c r="H3" s="18" t="n">
        <v>2</v>
      </c>
      <c r="I3" s="18" t="n">
        <v>1</v>
      </c>
      <c r="J3" s="18" t="str">
        <v>Round extra count upward; use the room roster.</v>
      </c>
      <c r="K3" s="18" t="n">
        <f>IF(I3=0,0,H3)</f>
        <v>2</v>
      </c>
      <c r="L3" s="16" t="str">
        <v>Planned</v>
      </c>
    </row>
    <row r="4" ht="28" customHeight="1">
      <c r="A4" s="16" t="str">
        <v>projectile_speed</v>
      </c>
      <c r="B4" s="16" t="str">
        <v>Projectile speed boost</v>
      </c>
      <c r="C4" s="16" t="str">
        <v>Increase enemy projectile speed</v>
      </c>
      <c r="D4" s="18" t="n">
        <v>3</v>
      </c>
      <c r="E4" s="18" t="n">
        <v>3</v>
      </c>
      <c r="F4" s="22" t="n">
        <v>0</v>
      </c>
      <c r="G4" s="22" t="n">
        <v>0.25</v>
      </c>
      <c r="H4" s="18" t="n">
        <v>2</v>
      </c>
      <c r="I4" s="18" t="n">
        <v>1</v>
      </c>
      <c r="J4" s="18" t="str">
        <v>Only eligible with projectile enemies.</v>
      </c>
      <c r="K4" s="18" t="n">
        <f>IF(I4=0,0,H4)</f>
        <v>2</v>
      </c>
      <c r="L4" s="16" t="str">
        <v>Planned</v>
      </c>
    </row>
    <row r="5" ht="28" customHeight="1">
      <c r="A5" s="16" t="str">
        <v>melee_reach</v>
      </c>
      <c r="B5" s="16" t="str">
        <v>Enemy range boost I</v>
      </c>
      <c r="C5" s="16" t="str">
        <v>Increase enemy melee reach</v>
      </c>
      <c r="D5" s="18" t="n">
        <v>2</v>
      </c>
      <c r="E5" s="18" t="n">
        <v>3</v>
      </c>
      <c r="F5" s="22" t="n">
        <v>0</v>
      </c>
      <c r="G5" s="22" t="n">
        <v>0.2</v>
      </c>
      <c r="H5" s="18" t="n">
        <v>2</v>
      </c>
      <c r="I5" s="18" t="n">
        <v>1</v>
      </c>
      <c r="J5" s="18" t="str">
        <v>Only eligible with suitable melee enemies; attack visuals must match.</v>
      </c>
      <c r="K5" s="18" t="n">
        <f>IF(I5=0,0,H5)</f>
        <v>2</v>
      </c>
      <c r="L5" s="16" t="str">
        <v>Planned</v>
      </c>
    </row>
    <row r="6" ht="28" customHeight="1">
      <c r="A6" s="16" t="str">
        <v>enemy_regeneration</v>
      </c>
      <c r="B6" s="16" t="str">
        <v>Enemy heal I</v>
      </c>
      <c r="C6" s="16" t="str">
        <v>Regenerate enemy maximum HP per second</v>
      </c>
      <c r="D6" s="18" t="n">
        <v>1</v>
      </c>
      <c r="E6" s="18" t="n">
        <v>3</v>
      </c>
      <c r="F6" s="22" t="n">
        <v>0</v>
      </c>
      <c r="G6" s="22" t="n">
        <v>0.02</v>
      </c>
      <c r="H6" s="18" t="n">
        <v>2</v>
      </c>
      <c r="I6" s="18" t="n">
        <v>1</v>
      </c>
      <c r="J6" s="18" t="str">
        <v>Starts after 3 s without damage; fractional healing; never revive.</v>
      </c>
      <c r="K6" s="18" t="n">
        <f>IF(I6=0,0,H6)</f>
        <v>2</v>
      </c>
      <c r="L6" s="16" t="str">
        <v>Planned</v>
      </c>
    </row>
    <row r="7" ht="28" customHeight="1">
      <c r="A7" s="16" t="str">
        <v>damage_tick</v>
      </c>
      <c r="B7" s="16" t="str">
        <v>Damage tick I</v>
      </c>
      <c r="C7" s="16" t="str">
        <v>Periodic player damage (deferred)</v>
      </c>
      <c r="D7" s="18" t="n">
        <v>1</v>
      </c>
      <c r="E7" s="18" t="n">
        <v>2</v>
      </c>
      <c r="F7" s="22" t="n">
        <v>0.01</v>
      </c>
      <c r="G7" s="22" t="n">
        <v>0</v>
      </c>
      <c r="H7" s="18"/>
      <c r="I7" s="18" t="n">
        <v>0</v>
      </c>
      <c r="J7" s="18" t="str">
        <v>Original 1% retained for reference; interval and lethality undecided.</v>
      </c>
      <c r="K7" s="18" t="n">
        <f>IF(I7=0,0,H7)</f>
        <v>0</v>
      </c>
      <c r="L7" s="16" t="str">
        <v>Deferred</v>
      </c>
    </row>
    <row r="8" ht="28" customHeight="1">
      <c r="A8" s="16" t="str">
        <v>slowness</v>
      </c>
      <c r="B8" s="16" t="str">
        <v>Slowness I</v>
      </c>
      <c r="C8" s="16" t="str">
        <v>Reduce player walking speed</v>
      </c>
      <c r="D8" s="18" t="n">
        <v>2</v>
      </c>
      <c r="E8" s="18" t="n">
        <v>3</v>
      </c>
      <c r="F8" s="22" t="n">
        <v>0.15</v>
      </c>
      <c r="G8" s="22" t="n">
        <v>0</v>
      </c>
      <c r="H8" s="18" t="n">
        <v>2</v>
      </c>
      <c r="I8" s="18" t="n">
        <v>1</v>
      </c>
      <c r="J8" s="18" t="str">
        <v>Dash speed unchanged.</v>
      </c>
      <c r="K8" s="18" t="n">
        <f>IF(I8=0,0,H8)</f>
        <v>2</v>
      </c>
      <c r="L8" s="16" t="str">
        <v>Planned</v>
      </c>
    </row>
    <row r="9" ht="28" customHeight="1">
      <c r="A9" s="16" t="str">
        <v>damage_reduction</v>
      </c>
      <c r="B9" s="16" t="str">
        <v>Damage reduction I</v>
      </c>
      <c r="C9" s="16" t="str">
        <v>Reduce player outgoing attack damage</v>
      </c>
      <c r="D9" s="18" t="n">
        <v>1</v>
      </c>
      <c r="E9" s="18" t="n">
        <v>3</v>
      </c>
      <c r="F9" s="22" t="n">
        <v>0.2</v>
      </c>
      <c r="G9" s="22" t="n">
        <v>0</v>
      </c>
      <c r="H9" s="18" t="n">
        <v>1</v>
      </c>
      <c r="I9" s="18" t="n">
        <v>1</v>
      </c>
      <c r="J9" s="18" t="str">
        <v>Applies to player attacks in this room only.</v>
      </c>
      <c r="K9" s="18" t="n">
        <f>IF(I9=0,0,H9)</f>
        <v>1</v>
      </c>
      <c r="L9" s="16" t="str">
        <v>Planned</v>
      </c>
    </row>
    <row r="10" ht="28" customHeight="1">
      <c r="A10" s="16" t="str">
        <v>restricted_vision</v>
      </c>
      <c r="B10" s="16" t="str">
        <v>Restricted vision I</v>
      </c>
      <c r="C10" s="16" t="str">
        <v>Limit vision to a 135 px radius</v>
      </c>
      <c r="D10" s="18" t="n">
        <v>1</v>
      </c>
      <c r="E10" s="18" t="n">
        <v>3</v>
      </c>
      <c r="F10" s="22"/>
      <c r="G10" s="22" t="n">
        <v>0</v>
      </c>
      <c r="H10" s="18" t="n">
        <v>2</v>
      </c>
      <c r="I10" s="18" t="n">
        <v>1</v>
      </c>
      <c r="J10" s="18" t="str">
        <v>Logical pixels, not a percentage; soft edge; HUD remains visible. Playtest radius.</v>
      </c>
      <c r="K10" s="18" t="n">
        <f>IF(I10=0,0,H10)</f>
        <v>2</v>
      </c>
      <c r="L10" s="16" t="str">
        <v>Planned</v>
      </c>
    </row>
    <row r="11" ht="28" customHeight="1">
      <c r="A11" s="16" t="str">
        <v>weapon_restriction</v>
      </c>
      <c r="B11" s="16" t="str">
        <v>Weapon restriction</v>
      </c>
      <c r="C11" s="16" t="str">
        <v>Disable current weapon (deferred)</v>
      </c>
      <c r="D11" s="18" t="n">
        <v>2</v>
      </c>
      <c r="E11" s="18" t="n">
        <v>3</v>
      </c>
      <c r="F11" s="22" t="n">
        <v>1</v>
      </c>
      <c r="G11" s="22" t="n">
        <v>0</v>
      </c>
      <c r="H11" s="18"/>
      <c r="I11" s="18" t="n">
        <v>0</v>
      </c>
      <c r="J11" s="18" t="str">
        <v>Only if PLAYER owns another usable weapon; switching rules undecided.</v>
      </c>
      <c r="K11" s="18" t="n">
        <f>IF(I11=0,0,H11)</f>
        <v>0</v>
      </c>
      <c r="L11" s="16" t="str">
        <v>Deferred</v>
      </c>
    </row>
    <row r="12" ht="28" customHeight="1">
      <c r="A12" s="16" t="str">
        <v>enemy_haste</v>
      </c>
      <c r="B12" s="16" t="str">
        <v>Enemy haste</v>
      </c>
      <c r="C12" s="16" t="str">
        <v>Increase enemy walking / chase speed</v>
      </c>
      <c r="D12" s="18" t="n">
        <v>1</v>
      </c>
      <c r="E12" s="18" t="n">
        <v>3</v>
      </c>
      <c r="F12" s="22" t="n">
        <v>0</v>
      </c>
      <c r="G12" s="22" t="n">
        <v>0.15</v>
      </c>
      <c r="H12" s="18" t="n">
        <v>1</v>
      </c>
      <c r="I12" s="18" t="n">
        <v>1</v>
      </c>
      <c r="J12" s="18" t="str">
        <v>Attack timings unchanged.</v>
      </c>
      <c r="K12" s="18" t="n">
        <f>IF(I12=0,0,H12)</f>
        <v>1</v>
      </c>
      <c r="L12" s="16" t="str">
        <v>Planned</v>
      </c>
    </row>
    <row r="13" ht="28" customHeight="1">
      <c r="A13" s="16" t="str">
        <v>slow_recovery</v>
      </c>
      <c r="B13" s="16" t="str">
        <v>Slow recovery</v>
      </c>
      <c r="C13" s="16" t="str">
        <v>Reduce player stamina regeneration</v>
      </c>
      <c r="D13" s="18" t="n">
        <v>1</v>
      </c>
      <c r="E13" s="18" t="n">
        <v>3</v>
      </c>
      <c r="F13" s="22" t="n">
        <v>0.25</v>
      </c>
      <c r="G13" s="22" t="n">
        <v>0</v>
      </c>
      <c r="H13" s="18" t="n">
        <v>2</v>
      </c>
      <c r="I13" s="18" t="n">
        <v>1</v>
      </c>
      <c r="J13" s="18" t="str">
        <v>Includes stamina-potion regeneration boost.</v>
      </c>
      <c r="K13" s="18" t="n">
        <f>IF(I13=0,0,H13)</f>
        <v>2</v>
      </c>
      <c r="L13" s="16" t="str">
        <v>Planned</v>
      </c>
    </row>
    <row r="14" ht="28" customHeight="1">
      <c r="A14" s="16" t="str">
        <v>elite_defender</v>
      </c>
      <c r="B14" s="16" t="str">
        <v>Elite defender</v>
      </c>
      <c r="C14" s="16" t="str">
        <v>One marked enemy: +50% HP, +20% damage</v>
      </c>
      <c r="D14" s="18" t="n">
        <v>1</v>
      </c>
      <c r="E14" s="18" t="n">
        <v>3</v>
      </c>
      <c r="F14" s="22" t="n">
        <v>0</v>
      </c>
      <c r="G14" s="22" t="n">
        <v>0.5</v>
      </c>
      <c r="H14" s="18" t="n">
        <v>2</v>
      </c>
      <c r="I14" s="18" t="n">
        <v>1</v>
      </c>
      <c r="J14" s="18" t="str">
        <v>Enemy Buff column is HP increase; damage increase is 20%.</v>
      </c>
      <c r="K14" s="18" t="n">
        <f>IF(I14=0,0,H14)</f>
        <v>2</v>
      </c>
      <c r="L14" s="16" t="str">
        <v>Planned</v>
      </c>
    </row>
    <row r="15" ht="28" customHeight="1">
      <c r="A15" s="16" t="str">
        <v>reinforcements</v>
      </c>
      <c r="B15" s="16" t="str">
        <v>Reinforcements</v>
      </c>
      <c r="C15" s="16" t="str">
        <v>Add a wave after initial group dies</v>
      </c>
      <c r="D15" s="18" t="n">
        <v>1</v>
      </c>
      <c r="E15" s="18" t="n">
        <v>3</v>
      </c>
      <c r="F15" s="22" t="n">
        <v>0</v>
      </c>
      <c r="G15" s="22" t="n">
        <v>0.5</v>
      </c>
      <c r="H15" s="18" t="n">
        <v>3</v>
      </c>
      <c r="I15" s="18" t="n">
        <v>1</v>
      </c>
      <c r="J15" s="18" t="str">
        <v>Extra count = ceil(initial count x 0.5); same roster; 1 s spawn warning.</v>
      </c>
      <c r="K15" s="18" t="n">
        <f>IF(I15=0,0,H15)</f>
        <v>3</v>
      </c>
      <c r="L15" s="16" t="str">
        <v>Planned</v>
      </c>
    </row>
    <row r="18">
      <c r="A18" t="str">
        <v>All effects and benefits are room-only. Clear earns the listed essence, banked until death payout; no reward for an uncleared room.</v>
      </c>
    </row>
    <row r="19">
      <c r="A19" t="str">
        <v>Unlock after previously clearing that stage. Modify floor(N/2) to ceil(N/2) regular rooms; exclude first combat, final encounter, Start, Rest and Shop.</v>
      </c>
    </row>
    <row r="20">
      <c r="A20" t="str">
        <v>Mandatory choice of up to 3 distinct eligible modifiers before combat; prefer one per tier. Weight 1 = equal selection; 0 = excluded. IDs are proposed.</v>
      </c>
    </row>
  </sheetData>
  <mergeCells>
    <mergeCell ref="A18:L18"/>
    <mergeCell ref="A19:L19"/>
    <mergeCell ref="A20:L20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6FB12-A7A7-493F-A518-EF0F017F0347}">
  <dimension ref="A1:L4"/>
  <sheetViews>
    <sheetView workbookViewId="0">
      <selection activeCell="B5" sqref="B5"/>
    </sheetView>
  </sheetViews>
  <sheetFormatPr defaultRowHeight="14.5" x14ac:dyDescent="0.35"/>
  <cols>
    <col min="1" max="1" width="10.90625" customWidth="1"/>
    <col min="2" max="2" width="14" customWidth="1"/>
    <col min="3" max="3" width="45.90625" bestFit="1" customWidth="1"/>
    <col min="6" max="6" width="10.7265625" customWidth="1"/>
    <col min="7" max="7" width="13.6328125" bestFit="1" customWidth="1"/>
    <col min="10" max="10" width="10.7265625" customWidth="1"/>
    <col min="11" max="11" width="11.08984375" customWidth="1"/>
    <col min="12" max="12" width="36.453125" customWidth="1"/>
  </cols>
  <sheetData>
    <row r="1" spans="1:12" x14ac:dyDescent="0.35">
      <c r="A1" t="s">
        <v>49</v>
      </c>
      <c r="B1" t="s">
        <v>50</v>
      </c>
      <c r="C1" t="s">
        <v>43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31</v>
      </c>
      <c r="J1" t="s">
        <v>44</v>
      </c>
      <c r="K1" t="s">
        <v>45</v>
      </c>
      <c r="L1" t="s">
        <v>10</v>
      </c>
    </row>
    <row r="2" spans="1:12" x14ac:dyDescent="0.35">
      <c r="B2" t="s">
        <v>95</v>
      </c>
      <c r="C2" t="s">
        <v>96</v>
      </c>
      <c r="D2" t="s">
        <v>95</v>
      </c>
      <c r="F2">
        <v>0</v>
      </c>
      <c r="G2" t="s">
        <v>97</v>
      </c>
      <c r="H2">
        <v>0</v>
      </c>
      <c r="J2" t="s">
        <v>77</v>
      </c>
      <c r="K2" t="s">
        <v>76</v>
      </c>
    </row>
    <row r="3" spans="1:12" x14ac:dyDescent="0.35">
      <c r="B3" t="s">
        <v>98</v>
      </c>
      <c r="C3" t="s">
        <v>100</v>
      </c>
      <c r="D3" t="s">
        <v>99</v>
      </c>
      <c r="F3">
        <v>5</v>
      </c>
      <c r="G3" t="s">
        <v>101</v>
      </c>
      <c r="H3">
        <v>8</v>
      </c>
      <c r="J3" t="s">
        <v>77</v>
      </c>
      <c r="K3" t="s">
        <v>76</v>
      </c>
    </row>
    <row r="4" spans="1:12" x14ac:dyDescent="0.35">
      <c r="B4" t="s">
        <v>102</v>
      </c>
      <c r="C4" t="s">
        <v>103</v>
      </c>
      <c r="D4" t="s">
        <v>104</v>
      </c>
      <c r="F4">
        <v>3</v>
      </c>
      <c r="G4" t="s">
        <v>105</v>
      </c>
      <c r="H4">
        <v>4</v>
      </c>
      <c r="J4" t="s">
        <v>77</v>
      </c>
      <c r="K4" t="s">
        <v>76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B7AEB-DB57-4CAE-A37A-85F36CF4E8BD}">
  <dimension ref="A1:AG43"/>
  <sheetViews>
    <sheetView workbookViewId="0">
      <selection activeCell="A44" sqref="A44"/>
    </sheetView>
  </sheetViews>
  <sheetFormatPr defaultRowHeight="14.5" x14ac:dyDescent="0.35"/>
  <cols>
    <col min="1" max="1" width="34.453125" bestFit="1" customWidth="1"/>
    <col min="2" max="2" width="12.26953125" bestFit="1" customWidth="1"/>
    <col min="3" max="3" width="10.453125" bestFit="1" customWidth="1"/>
    <col min="4" max="4" width="13.26953125" bestFit="1" customWidth="1"/>
    <col min="5" max="5" width="8" bestFit="1" customWidth="1"/>
    <col min="6" max="6" width="12.81640625" bestFit="1" customWidth="1"/>
    <col min="7" max="7" width="7.453125" bestFit="1" customWidth="1"/>
    <col min="8" max="8" width="14.1796875" bestFit="1" customWidth="1"/>
    <col min="9" max="9" width="7.81640625" bestFit="1" customWidth="1"/>
    <col min="10" max="10" width="10.81640625" bestFit="1" customWidth="1"/>
    <col min="11" max="11" width="7.90625" bestFit="1" customWidth="1"/>
    <col min="13" max="13" width="12.26953125" bestFit="1" customWidth="1"/>
    <col min="14" max="14" width="10.453125" bestFit="1" customWidth="1"/>
    <col min="15" max="15" width="13.26953125" bestFit="1" customWidth="1"/>
    <col min="16" max="16" width="8" bestFit="1" customWidth="1"/>
    <col min="17" max="17" width="12.81640625" bestFit="1" customWidth="1"/>
    <col min="18" max="18" width="7.453125" bestFit="1" customWidth="1"/>
    <col min="19" max="19" width="14.1796875" bestFit="1" customWidth="1"/>
    <col min="20" max="20" width="7.81640625" bestFit="1" customWidth="1"/>
    <col min="21" max="21" width="10.81640625" bestFit="1" customWidth="1"/>
    <col min="22" max="22" width="7.90625" bestFit="1" customWidth="1"/>
    <col min="24" max="24" width="12.26953125" bestFit="1" customWidth="1"/>
    <col min="25" max="25" width="10.453125" bestFit="1" customWidth="1"/>
    <col min="26" max="26" width="13.26953125" bestFit="1" customWidth="1"/>
    <col min="27" max="27" width="8" bestFit="1" customWidth="1"/>
    <col min="28" max="28" width="12.81640625" bestFit="1" customWidth="1"/>
    <col min="29" max="29" width="7.453125" bestFit="1" customWidth="1"/>
    <col min="30" max="30" width="14.1796875" bestFit="1" customWidth="1"/>
    <col min="31" max="31" width="7.81640625" bestFit="1" customWidth="1"/>
    <col min="32" max="32" width="10.81640625" bestFit="1" customWidth="1"/>
    <col min="33" max="33" width="7.90625" bestFit="1" customWidth="1"/>
  </cols>
  <sheetData>
    <row r="1" spans="1:33" x14ac:dyDescent="0.35">
      <c r="A1" t="s">
        <v>106</v>
      </c>
      <c r="B1" t="s">
        <v>56</v>
      </c>
      <c r="C1" t="s">
        <v>57</v>
      </c>
      <c r="D1" t="s">
        <v>58</v>
      </c>
      <c r="E1" t="s">
        <v>59</v>
      </c>
      <c r="F1" t="s">
        <v>43</v>
      </c>
      <c r="G1" t="s">
        <v>60</v>
      </c>
      <c r="H1" t="s">
        <v>61</v>
      </c>
      <c r="I1" t="s">
        <v>52</v>
      </c>
      <c r="J1" t="s">
        <v>62</v>
      </c>
      <c r="K1" t="s">
        <v>10</v>
      </c>
      <c r="L1" t="s">
        <v>107</v>
      </c>
      <c r="M1" t="s">
        <v>56</v>
      </c>
      <c r="N1" t="s">
        <v>57</v>
      </c>
      <c r="O1" t="s">
        <v>58</v>
      </c>
      <c r="P1" t="s">
        <v>59</v>
      </c>
      <c r="Q1" t="s">
        <v>43</v>
      </c>
      <c r="R1" t="s">
        <v>60</v>
      </c>
      <c r="S1" t="s">
        <v>61</v>
      </c>
      <c r="T1" t="s">
        <v>52</v>
      </c>
      <c r="U1" t="s">
        <v>62</v>
      </c>
      <c r="V1" t="s">
        <v>10</v>
      </c>
      <c r="W1" t="s">
        <v>108</v>
      </c>
      <c r="X1" t="s">
        <v>56</v>
      </c>
      <c r="Y1" t="s">
        <v>57</v>
      </c>
      <c r="Z1" t="s">
        <v>58</v>
      </c>
      <c r="AA1" t="s">
        <v>59</v>
      </c>
      <c r="AB1" t="s">
        <v>43</v>
      </c>
      <c r="AC1" t="s">
        <v>60</v>
      </c>
      <c r="AD1" t="s">
        <v>61</v>
      </c>
      <c r="AE1" t="s">
        <v>52</v>
      </c>
      <c r="AF1" t="s">
        <v>62</v>
      </c>
      <c r="AG1" t="s">
        <v>10</v>
      </c>
    </row>
    <row r="43" spans="1:11" x14ac:dyDescent="0.35">
      <c r="A43" t="s">
        <v>109</v>
      </c>
      <c r="B43" t="s">
        <v>56</v>
      </c>
      <c r="C43" t="s">
        <v>57</v>
      </c>
      <c r="D43" t="s">
        <v>58</v>
      </c>
      <c r="E43" t="s">
        <v>59</v>
      </c>
      <c r="F43" t="s">
        <v>43</v>
      </c>
      <c r="G43" t="s">
        <v>60</v>
      </c>
      <c r="H43" t="s">
        <v>61</v>
      </c>
      <c r="I43" t="s">
        <v>52</v>
      </c>
      <c r="J43" t="s">
        <v>62</v>
      </c>
      <c r="K43" t="s">
        <v>10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08EFC-27B0-4A82-89B7-7CAC88D47F9A}">
  <dimension ref="A1:K2"/>
  <sheetViews>
    <sheetView workbookViewId="0">
      <selection activeCell="C3" sqref="C3"/>
    </sheetView>
  </sheetViews>
  <sheetFormatPr defaultRowHeight="14.5" x14ac:dyDescent="0.35"/>
  <cols>
    <col min="1" max="1" width="8.81640625" customWidth="1"/>
    <col min="2" max="2" width="11.90625" customWidth="1"/>
    <col min="8" max="8" width="13.08984375" customWidth="1"/>
    <col min="9" max="9" width="8.81640625" customWidth="1"/>
    <col min="10" max="10" width="10" customWidth="1"/>
  </cols>
  <sheetData>
    <row r="1" spans="1:11" x14ac:dyDescent="0.35">
      <c r="A1" t="s">
        <v>63</v>
      </c>
      <c r="B1" t="s">
        <v>64</v>
      </c>
      <c r="C1" t="s">
        <v>0</v>
      </c>
      <c r="D1" t="s">
        <v>65</v>
      </c>
      <c r="E1" t="s">
        <v>24</v>
      </c>
      <c r="F1" t="s">
        <v>66</v>
      </c>
      <c r="G1" t="s">
        <v>27</v>
      </c>
      <c r="H1" t="s">
        <v>67</v>
      </c>
      <c r="I1" t="s">
        <v>12</v>
      </c>
      <c r="J1" t="s">
        <v>48</v>
      </c>
      <c r="K1" t="s">
        <v>10</v>
      </c>
    </row>
    <row r="2" spans="1:11" x14ac:dyDescent="0.35">
      <c r="C2" t="s">
        <v>110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4161B-9BC7-4DDD-A94D-20A2E8BAF90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Room Balance</vt:lpstr>
      <vt:lpstr>Enemy Balance</vt:lpstr>
      <vt:lpstr>Weapon Balance</vt:lpstr>
      <vt:lpstr>Debuff Pool</vt:lpstr>
      <vt:lpstr>Reward Pool</vt:lpstr>
      <vt:lpstr>Meta Progression</vt:lpstr>
      <vt:lpstr>Boss Balance</vt:lpstr>
      <vt:lpstr>Run Economy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Kelly</dc:creator>
  <cp:lastModifiedBy>Jack Kelly</cp:lastModifiedBy>
  <dcterms:created xsi:type="dcterms:W3CDTF">2026-08-19T17:21:13Z</dcterms:created>
  <dcterms:modified xsi:type="dcterms:W3CDTF">2026-08-27T06:47:42Z</dcterms:modified>
</cp:coreProperties>
</file>